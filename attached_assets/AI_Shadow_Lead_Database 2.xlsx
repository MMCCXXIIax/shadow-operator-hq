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30"/>
  <workbookPr/>
  <xr:revisionPtr revIDLastSave="0" documentId="11_19A8E0187E2CDC20AB7F088BB55C0948F6DD7BA5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🎯 Seed Leads" sheetId="1" r:id="rId1"/>
    <sheet name="🗺️ Targeting System" sheetId="2" r:id="rId2"/>
    <sheet name="📊 Pipeline Tracker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3" l="1"/>
  <c r="E33" i="3"/>
  <c r="H33" i="3"/>
  <c r="G33" i="3"/>
  <c r="C33" i="3"/>
  <c r="F33" i="3"/>
  <c r="B33" i="3"/>
  <c r="D33" i="3"/>
  <c r="H32" i="3"/>
  <c r="F32" i="3"/>
  <c r="D32" i="3"/>
  <c r="H31" i="3"/>
  <c r="F31" i="3"/>
  <c r="D31" i="3"/>
  <c r="H30" i="3"/>
  <c r="F30" i="3"/>
  <c r="D30" i="3"/>
  <c r="H29" i="3"/>
  <c r="F29" i="3"/>
  <c r="D29" i="3"/>
  <c r="H28" i="3"/>
  <c r="F28" i="3"/>
  <c r="D28" i="3"/>
  <c r="H27" i="3"/>
  <c r="F27" i="3"/>
  <c r="D27" i="3"/>
  <c r="H26" i="3"/>
  <c r="F26" i="3"/>
  <c r="D26" i="3"/>
  <c r="H25" i="3"/>
  <c r="F25" i="3"/>
  <c r="D25" i="3"/>
  <c r="H24" i="3"/>
  <c r="F24" i="3"/>
  <c r="D24" i="3"/>
  <c r="H23" i="3"/>
  <c r="F23" i="3"/>
  <c r="D23" i="3"/>
  <c r="H22" i="3"/>
  <c r="F22" i="3"/>
  <c r="D22" i="3"/>
  <c r="H21" i="3"/>
  <c r="F21" i="3"/>
  <c r="D21" i="3"/>
  <c r="H20" i="3"/>
  <c r="F20" i="3"/>
  <c r="D20" i="3"/>
  <c r="H19" i="3"/>
  <c r="F19" i="3"/>
  <c r="D19" i="3"/>
  <c r="H18" i="3"/>
  <c r="F18" i="3"/>
  <c r="D18" i="3"/>
  <c r="H17" i="3"/>
  <c r="F17" i="3"/>
  <c r="D17" i="3"/>
  <c r="H16" i="3"/>
  <c r="F16" i="3"/>
  <c r="D16" i="3"/>
  <c r="H15" i="3"/>
  <c r="F15" i="3"/>
  <c r="D15" i="3"/>
  <c r="H14" i="3"/>
  <c r="F14" i="3"/>
  <c r="D14" i="3"/>
  <c r="H13" i="3"/>
  <c r="F13" i="3"/>
  <c r="D13" i="3"/>
  <c r="H12" i="3"/>
  <c r="F12" i="3"/>
  <c r="D12" i="3"/>
  <c r="H11" i="3"/>
  <c r="F11" i="3"/>
  <c r="D11" i="3"/>
  <c r="H10" i="3"/>
  <c r="F10" i="3"/>
  <c r="D10" i="3"/>
  <c r="H9" i="3"/>
  <c r="F9" i="3"/>
  <c r="D9" i="3"/>
  <c r="H8" i="3"/>
  <c r="F8" i="3"/>
  <c r="D8" i="3"/>
  <c r="H7" i="3"/>
  <c r="F7" i="3"/>
  <c r="D7" i="3"/>
  <c r="H6" i="3"/>
  <c r="F6" i="3"/>
  <c r="D6" i="3"/>
  <c r="H5" i="3"/>
  <c r="F5" i="3"/>
  <c r="D5" i="3"/>
  <c r="H4" i="3"/>
  <c r="F4" i="3"/>
  <c r="D4" i="3"/>
  <c r="H3" i="3"/>
  <c r="F3" i="3"/>
  <c r="D3" i="3"/>
</calcChain>
</file>

<file path=xl/sharedStrings.xml><?xml version="1.0" encoding="utf-8"?>
<sst xmlns="http://schemas.openxmlformats.org/spreadsheetml/2006/main" count="406" uniqueCount="287">
  <si>
    <t>AI SHADOW OPERATING — INSTAGRAM LEAD DATABASE</t>
  </si>
  <si>
    <t>#</t>
  </si>
  <si>
    <t>Instagram Handle</t>
  </si>
  <si>
    <t>Niche</t>
  </si>
  <si>
    <t>Sub-Niche</t>
  </si>
  <si>
    <t>Est. Followers</t>
  </si>
  <si>
    <t>Profile Bio Summary</t>
  </si>
  <si>
    <t>Monetization Gap</t>
  </si>
  <si>
    <t>Priority Score (1-10)</t>
  </si>
  <si>
    <t>DM Status</t>
  </si>
  <si>
    <t>Response</t>
  </si>
  <si>
    <t>Call Booked?</t>
  </si>
  <si>
    <t>Notes</t>
  </si>
  <si>
    <t>@postpartum.nutritioncoach</t>
  </si>
  <si>
    <t>Motherhood</t>
  </si>
  <si>
    <t>Postpartum Nutrition</t>
  </si>
  <si>
    <t>~48.6K</t>
  </si>
  <si>
    <t>Nutrition for postpartum recovery &amp; breastfeeding. Rebuild core &amp; strength after baby.</t>
  </si>
  <si>
    <t>Has email list + 'work with me' link but no digital course. Audience actively asking for structured program.</t>
  </si>
  <si>
    <t>Not Sent</t>
  </si>
  <si>
    <t>No</t>
  </si>
  <si>
    <t>@makaila.nichols.wellness</t>
  </si>
  <si>
    <t>Raw Motherhood/Wellness</t>
  </si>
  <si>
    <t>~53.7K</t>
  </si>
  <si>
    <t>Real &amp; Raw Motherhood | Honest Lifestyle. 'You're Safe Here' community vibe.</t>
  </si>
  <si>
    <t>Brand deals only. Loyal community ready to buy a membership or support program.</t>
  </si>
  <si>
    <t>@dralicepsyd</t>
  </si>
  <si>
    <t>Mom Psychology</t>
  </si>
  <si>
    <t>~44.5K</t>
  </si>
  <si>
    <t>Psychologist for women and moms. Feel like yourself again. Mom of 3 + firefighter wife.</t>
  </si>
  <si>
    <t>Offers free stuff but no paid course. Perfect for a 'Mom Mindset Reset' course.</t>
  </si>
  <si>
    <t>@mommebe_well</t>
  </si>
  <si>
    <t>Mom Therapy/Coaching</t>
  </si>
  <si>
    <t>~45.3K</t>
  </si>
  <si>
    <t>Therapist + Coach + Mom of 4. Co-host of @themomsalon_pod. Real support, not fluff.</t>
  </si>
  <si>
    <t>Podcast audience = warm leads. No flagship digital product visible.</t>
  </si>
  <si>
    <t>@jaceylynfit</t>
  </si>
  <si>
    <t>Postpartum Fitness</t>
  </si>
  <si>
    <t>~37.6K</t>
  </si>
  <si>
    <t>Helping moms feel at home in their bodies again &amp; lose 10-20+ lbs in 16 weeks.</t>
  </si>
  <si>
    <t>Has an app mention but no visible standalone course or community.</t>
  </si>
  <si>
    <t>@amyshock</t>
  </si>
  <si>
    <t>~28.7K</t>
  </si>
  <si>
    <t>Honest Motherhood + Fitness. Helping women reclaim confidence. Has a fitness app.</t>
  </si>
  <si>
    <t>Growing fast. Early-stage monetization — good timing to approach.</t>
  </si>
  <si>
    <t>@drkarlie</t>
  </si>
  <si>
    <t>Postpartum Pelvic Floor</t>
  </si>
  <si>
    <t>~32.3K</t>
  </si>
  <si>
    <t>Pregnancy &amp; Postpartum expert. Pain-free core &amp; pelvic floor solutions.</t>
  </si>
  <si>
    <t>Affiliate links + TikTok traffic. No paid community or course.</t>
  </si>
  <si>
    <t>@toriachord_</t>
  </si>
  <si>
    <t>Postpartum Movement</t>
  </si>
  <si>
    <t>~22.9K</t>
  </si>
  <si>
    <t>Helping women build joy through movement &amp; mindset. Retired SLP.</t>
  </si>
  <si>
    <t>Niche crossover (SLP + fitness). Gap: no structured program for her community.</t>
  </si>
  <si>
    <t>@empoweredmamamovement</t>
  </si>
  <si>
    <t>Pregnancy Empowerment</t>
  </si>
  <si>
    <t>~56K</t>
  </si>
  <si>
    <t>Informed pregnancy, empowered motherhood. Helping women rediscover trust.</t>
  </si>
  <si>
    <t>Strong bio promise — no product to back it up. Perfect pitch opportunity.</t>
  </si>
  <si>
    <t>@the_postpartum_therapist</t>
  </si>
  <si>
    <t>Postpartum Therapy</t>
  </si>
  <si>
    <t>~34.1K</t>
  </si>
  <si>
    <t>Therapist to women across the lifespan. Postpartum/Parenting/Perimenopause.</t>
  </si>
  <si>
    <t>Co-founder of @eastbaybirthcollective. High trust, no course.</t>
  </si>
  <si>
    <t>@madeformotherhood_</t>
  </si>
  <si>
    <t>PMDD/Cycle Syncing</t>
  </si>
  <si>
    <t>~36.9K</t>
  </si>
  <si>
    <t>Counselor → Mom who healed PMDD. Helping women sync cycle &amp; reduce PMS symptoms.</t>
  </si>
  <si>
    <t>Very specific niche = passionate audience. Zero paid products visible.</t>
  </si>
  <si>
    <t>@katrinahausmann</t>
  </si>
  <si>
    <t>Postpartum Identity</t>
  </si>
  <si>
    <t>~20.4K</t>
  </si>
  <si>
    <t>Helped 500+ moms. MS Nutrition &amp; Exercise Phys. Pelvic Floor + Core + Identity.</t>
  </si>
  <si>
    <t>Small but targeted. 'MOMFIDENCE' brand ready to be a course.</t>
  </si>
  <si>
    <t>@motherme.io</t>
  </si>
  <si>
    <t>Pregnancy Tools</t>
  </si>
  <si>
    <t>~24K</t>
  </si>
  <si>
    <t>Pregnant &amp; overwhelmed I got you. Mom of 4 + founder. Science-backed tools.</t>
  </si>
  <si>
    <t>Has an app. May want course/community layer on top.</t>
  </si>
  <si>
    <t>@drbetseypt</t>
  </si>
  <si>
    <t>Christian Postpartum PT</t>
  </si>
  <si>
    <t>~61K</t>
  </si>
  <si>
    <t>Helping Christian moms prepare for birth &amp; heal bodies after. Doctor of PT.</t>
  </si>
  <si>
    <t>Faith-based niche = ultra loyal. Paid challenge teased but no full course.</t>
  </si>
  <si>
    <t>@postpartumstrength</t>
  </si>
  <si>
    <t>Prenatal/Postnatal Fitness</t>
  </si>
  <si>
    <t>~28.3K</t>
  </si>
  <si>
    <t>Engineer + Mom. Pre/postnatal coach. Stay strong &amp; prepare for birth.</t>
  </si>
  <si>
    <t>Online programs mentioned but not prominently sold. Gap to fill.</t>
  </si>
  <si>
    <t>@xraybestie</t>
  </si>
  <si>
    <t>Nursing/Healthcare</t>
  </si>
  <si>
    <t>Radiology</t>
  </si>
  <si>
    <t>~21.7K</t>
  </si>
  <si>
    <t>Bone Photographer + X-ray tech. Wearfigs Ambassador. 45K+ on TikTok.</t>
  </si>
  <si>
    <t>Cross-platform creator. No course for radiology students/techs.</t>
  </si>
  <si>
    <t>@kyleethepa</t>
  </si>
  <si>
    <t>PA Journey</t>
  </si>
  <si>
    <t>~15.2K</t>
  </si>
  <si>
    <t>PA Journey &amp; Lifestyle. VA based. Cycle Instructor.</t>
  </si>
  <si>
    <t>Early stage. PA student audience = desperate for study guides + career content.</t>
  </si>
  <si>
    <t>@leila.the.pa</t>
  </si>
  <si>
    <t>Aesthetic PA</t>
  </si>
  <si>
    <t>~95.8K</t>
  </si>
  <si>
    <t>Cosmetic Dermatology &amp; Wellness PA-C. Health, skin artistry + humor.</t>
  </si>
  <si>
    <t>High follower count. No flagship course on aesthetic nursing career.</t>
  </si>
  <si>
    <t>@healthpreneur</t>
  </si>
  <si>
    <t>Health Business</t>
  </si>
  <si>
    <t>~106.2K</t>
  </si>
  <si>
    <t>Helping root-cause health experts build scalable businesses.</t>
  </si>
  <si>
    <t>Already teaches business — potential partnership on operator model.</t>
  </si>
  <si>
    <t>@yourheartdoc</t>
  </si>
  <si>
    <t>Cardiology Edu</t>
  </si>
  <si>
    <t>~185.9K</t>
  </si>
  <si>
    <t>Interventional Cardiologist. Educator, Speaker. NYC.</t>
  </si>
  <si>
    <t>Large following. No paid patient education course or community.</t>
  </si>
  <si>
    <t>@drkaydo</t>
  </si>
  <si>
    <t>Locum Medicine</t>
  </si>
  <si>
    <t>~155.7K</t>
  </si>
  <si>
    <t>The OG Locums Doc. Double Board Certified Physician. Medical education.</t>
  </si>
  <si>
    <t>Big following. No paid community for locum doctors.</t>
  </si>
  <si>
    <t>@breastfeeding.dietitian</t>
  </si>
  <si>
    <t>Lactation/Nutrition</t>
  </si>
  <si>
    <t>~70.3K</t>
  </si>
  <si>
    <t>IBCLC + Pediatric RD. Baby led so you can keep breastfeeding.</t>
  </si>
  <si>
    <t>High expertise, engaged audience. Ripe for a breastfeeding troubleshoot course.</t>
  </si>
  <si>
    <t>@the.breastfeedingmama</t>
  </si>
  <si>
    <t>Breastfeeding</t>
  </si>
  <si>
    <t>~78.8K</t>
  </si>
  <si>
    <t>Milk Supply &amp; Pumping Specialist. Real solutions for real feeding struggles.</t>
  </si>
  <si>
    <t>Has a virtual support model but no packaged course or community.</t>
  </si>
  <si>
    <t>@mommiesworldofficial</t>
  </si>
  <si>
    <t>Infant Feeding</t>
  </si>
  <si>
    <t>~varies</t>
  </si>
  <si>
    <t>Physician Assistant + Breastfeeding Specialist. DM for queries.</t>
  </si>
  <si>
    <t>DM-based support = huge unmet demand for a structured resource.</t>
  </si>
  <si>
    <t>@karrie_locher</t>
  </si>
  <si>
    <t>Postpartum/Baby</t>
  </si>
  <si>
    <t>~836.7K</t>
  </si>
  <si>
    <t>Helping moms confidently bring home their babies. RN, BSN, CLC.</t>
  </si>
  <si>
    <t>Large but on the edge — might be in 100K+ tier now. Check before pitching.</t>
  </si>
  <si>
    <t>@lightaftergriefinstagram</t>
  </si>
  <si>
    <t>Pregnancy Loss/Grief</t>
  </si>
  <si>
    <t>Grief Coaching</t>
  </si>
  <si>
    <t>~108.3K</t>
  </si>
  <si>
    <t>Support for grievers after deep loss. Therapist + Grief Coach. 100K+ helped.</t>
  </si>
  <si>
    <t>Has grief course — potential co-product opportunity (paid community layer).</t>
  </si>
  <si>
    <t>@empowered_through_grief</t>
  </si>
  <si>
    <t>Death Doula</t>
  </si>
  <si>
    <t>~84.9K</t>
  </si>
  <si>
    <t>Certified Death Doula. Helping navigate grief &amp; rebuild meaningful life.</t>
  </si>
  <si>
    <t>Write-through-grief newsletter. No flagship group program.</t>
  </si>
  <si>
    <t>@motherwortandrose</t>
  </si>
  <si>
    <t>Grief + Ritual</t>
  </si>
  <si>
    <t>~79.9K</t>
  </si>
  <si>
    <t>Grief spells, plant magic, art making. Grief magic self-paced study.</t>
  </si>
  <si>
    <t>Already doing it right — possible co-launch or community upgrade.</t>
  </si>
  <si>
    <t>@themindfulgriefcoach</t>
  </si>
  <si>
    <t>Baby Loss Coach</t>
  </si>
  <si>
    <t>Mindful baby loss support coach after loss of son Elvis at 8 months.</t>
  </si>
  <si>
    <t>Personal story + coaching = powerful. No visible paid community.</t>
  </si>
  <si>
    <t>@pregnancyafterlosssupport</t>
  </si>
  <si>
    <t>PAL Community</t>
  </si>
  <si>
    <t>~64K</t>
  </si>
  <si>
    <t>Archive account — closed operations end of 2025. Audience left unserved.</t>
  </si>
  <si>
    <t>⚠️ Account closed but 64K followers now without a home. Find similar active accounts in niche.</t>
  </si>
  <si>
    <t>@iamdavidkessler</t>
  </si>
  <si>
    <t>Grief Authority</t>
  </si>
  <si>
    <t>~105.6K</t>
  </si>
  <si>
    <t>Author of 7 books on grief. Founder of Grief.com.</t>
  </si>
  <si>
    <t>Huge authority. No micro-community for specific pregnancy loss.</t>
  </si>
  <si>
    <t>@psychedmommy</t>
  </si>
  <si>
    <t>Relationships</t>
  </si>
  <si>
    <t>Mom + Relationships</t>
  </si>
  <si>
    <t>~572.1K</t>
  </si>
  <si>
    <t>Rediscover yourself after motherhood. Reconnect with your partner. Reshape parenting.</t>
  </si>
  <si>
    <t>Very large — may be above target range. Has workshops but no flagship course.</t>
  </si>
  <si>
    <t>@mamapsychologists</t>
  </si>
  <si>
    <t>Parenting + Couples</t>
  </si>
  <si>
    <t>~656.7K</t>
  </si>
  <si>
    <t>Parenting &amp; Postpartum Experts. Canada-wide counselling centre.</t>
  </si>
  <si>
    <t>Too large for ideal window — but great to study their model.</t>
  </si>
  <si>
    <t>@drcassidy</t>
  </si>
  <si>
    <t>Therapy/Relationships</t>
  </si>
  <si>
    <t>~119.3K</t>
  </si>
  <si>
    <t>Private Practice. Postpartum, Relationships, Parenting. Podcast host.</t>
  </si>
  <si>
    <t>Has podcast + private practice but no digital course or community.</t>
  </si>
  <si>
    <t>@the.peaceful.mother</t>
  </si>
  <si>
    <t>Conscious Parenting</t>
  </si>
  <si>
    <t>~112.7K</t>
  </si>
  <si>
    <t>Former Angry Mom → Coach For Healing Moms. Traditional Homeschooling, Christ-Centered.</t>
  </si>
  <si>
    <t>Sells a book. No course or community yet.</t>
  </si>
  <si>
    <t>@fullheartwellness</t>
  </si>
  <si>
    <t>Women's Wellness</t>
  </si>
  <si>
    <t>~38.8K</t>
  </si>
  <si>
    <t>Wellness + clean skincare. Community marketing mentor + leader. Boy mom x2.</t>
  </si>
  <si>
    <t>Community leader = built-in audience for a paid community.</t>
  </si>
  <si>
    <t>@alexiskristiana</t>
  </si>
  <si>
    <t>Motherhood/NYC Life</t>
  </si>
  <si>
    <t>~137.7K</t>
  </si>
  <si>
    <t>Wife + Mom of 3. Motherhood &amp; everything in between. Homeschool Life. NYC.</t>
  </si>
  <si>
    <t>Lifestyle creator — no digital product despite loyal audience.</t>
  </si>
  <si>
    <t>Honest Lifestyle</t>
  </si>
  <si>
    <t>See row 2 — also fits Relationships/emotional support niche.</t>
  </si>
  <si>
    <t>Dual-niche opportunity — could launch both a motherhood AND relationship course.</t>
  </si>
  <si>
    <t>INSTAGRAM TARGETING SYSTEM — HOW TO FIND THOUSANDS OF LEADS</t>
  </si>
  <si>
    <t>Category</t>
  </si>
  <si>
    <t>Hashtags / Search Terms</t>
  </si>
  <si>
    <t>What to Look For</t>
  </si>
  <si>
    <t>── MOTHERHOOD ──</t>
  </si>
  <si>
    <t>Core Hashtags</t>
  </si>
  <si>
    <t>#postpartummom #postpartumrecovery #newmomlife #momlife #mamalife #mompreneur</t>
  </si>
  <si>
    <t>15K–100K follower accounts with 2%+ engagement</t>
  </si>
  <si>
    <t>Sub-Niche: Fitness</t>
  </si>
  <si>
    <t>#postpartumfitness #momswholift #postpartumhealth #coremom #pelvicfloor</t>
  </si>
  <si>
    <t>Look for: 'Work with me' link in bio but no course</t>
  </si>
  <si>
    <t>Sub-Niche: Mental Health</t>
  </si>
  <si>
    <t>#postpartummentalhealth #maternalmentalhealth #momtherapist #postpartumanxiety</t>
  </si>
  <si>
    <t>Therapists/coaches with large following but only 1:1 offers</t>
  </si>
  <si>
    <t>Sub-Niche: Nutrition</t>
  </si>
  <si>
    <t>#postpartumnutrition #breastfeedingnutrition #momnutritionist #postpartumfood</t>
  </si>
  <si>
    <t>Dietitians + RDs with affiliate links but no course</t>
  </si>
  <si>
    <t>Sub-Niche: Faith/Christian</t>
  </si>
  <si>
    <t>#christianmom #faithbasedmotherhood #christianmotherhood #biblicalmotherhood</t>
  </si>
  <si>
    <t>Ultra-loyal niche — courses convert extremely well</t>
  </si>
  <si>
    <t>Search Terms (IG Search)</t>
  </si>
  <si>
    <t>"postpartum coach" "new mom tips" "baby blues" "fourth trimester"</t>
  </si>
  <si>
    <t>Type into IG search → filter by Accounts → sort by engagement</t>
  </si>
  <si>
    <t>── NURSING / HEALTHCARE ──</t>
  </si>
  <si>
    <t>#nursepractitioner #registerednurse #nurselife #nursingschool #nursestudent</t>
  </si>
  <si>
    <t>Look for educators, not just lifestyle nurses</t>
  </si>
  <si>
    <t>Sub-Niche: Specialty Nurses</t>
  </si>
  <si>
    <t>#icunurse #nicunurse #ernurse #travelnurse #pediatricnurse</t>
  </si>
  <si>
    <t>Specialty nurses have passionate, specific audiences</t>
  </si>
  <si>
    <t>Sub-Niche: NP/PA Students</t>
  </si>
  <si>
    <t>#npstudent #pastudent #nursingschoolproblems #futurenurse #medstudent</t>
  </si>
  <si>
    <t>Students desperately want study guides + career roadmaps</t>
  </si>
  <si>
    <t>Sub-Niche: Aesthetic/Cosmetic</t>
  </si>
  <si>
    <t>#aestheticnurse #injector #nurseinjector #medspanurse #cosmeticnurse</t>
  </si>
  <si>
    <t>Growing fast — career transition content = huge demand</t>
  </si>
  <si>
    <t>Sub-Niche: Healthcare Business</t>
  </si>
  <si>
    <t>#healthcareentrepreneur #nurseentrepreneur #nursetok #sidehustle #nurseboss</t>
  </si>
  <si>
    <t>Nurses who want to monetize expertise</t>
  </si>
  <si>
    <t>"nurse educator" "RN coach" "nursing tips" "new grad nurse"</t>
  </si>
  <si>
    <t>Find accounts with sticky content + comment questions</t>
  </si>
  <si>
    <t>── PREGNANCY LOSS / GRIEF ──</t>
  </si>
  <si>
    <t>#miscarriage #pregnancyloss #babyloss #infantloss #stillbirth #ttcafterloss</t>
  </si>
  <si>
    <t>Very emotional niche — community buys from people they deeply trust</t>
  </si>
  <si>
    <t>Sub-Niche: Infertility/IVF</t>
  </si>
  <si>
    <t>#ivfjourney #infertility #ttccommunity #ivfsupport #rainbowbaby</t>
  </si>
  <si>
    <t>IVF community is huge and underserved with structured support</t>
  </si>
  <si>
    <t>Sub-Niche: Grief Coaching</t>
  </si>
  <si>
    <t>#griefcoach #griefhealing #griefjourney #lifeafterloss #grievingmom</t>
  </si>
  <si>
    <t>Coaches who help others but have no flagship program</t>
  </si>
  <si>
    <t>Sub-Niche: Advocacy</t>
  </si>
  <si>
    <t>#miscarriagemom #1in4 #breakthesilence #pregnancylossawareness</t>
  </si>
  <si>
    <t>Advocacy creators have high engagement + loyal micro-communities</t>
  </si>
  <si>
    <t>"pregnancy loss coach" "miscarriage support" "grief after baby loss"</t>
  </si>
  <si>
    <t>Accounts with personal story + growing community but no product</t>
  </si>
  <si>
    <t>── RELATIONSHIPS / DATING ──</t>
  </si>
  <si>
    <t>#relationshipcoach #datingadvice #marriagecoach #couplegoals #relationshiptips</t>
  </si>
  <si>
    <t>Coaches with 15K–80K who post consistently</t>
  </si>
  <si>
    <t>Sub-Niche: Divorce/Healing</t>
  </si>
  <si>
    <t>#divorcedmom #lifeafterdivorce #healingfromdivorce #divorcerecovery</t>
  </si>
  <si>
    <t>Underserved. Women seeking community after divorce = perfect product fit</t>
  </si>
  <si>
    <t>Sub-Niche: Dating for Moms</t>
  </si>
  <si>
    <t>#singlemom #singlemomlife #momsdating #datingasasingleparent</t>
  </si>
  <si>
    <t>Huge unserved gap. Courses on dating confidence as a single mom.</t>
  </si>
  <si>
    <t>Sub-Niche: Marriage Help</t>
  </si>
  <si>
    <t>#marriageadvice #healthymarriage #marriagetherapist #couplegoals</t>
  </si>
  <si>
    <t>Therapists/coaches with engaged audience but no course</t>
  </si>
  <si>
    <t>Sub-Niche: Conscious Parenting</t>
  </si>
  <si>
    <t>#consciousparenting #gentleparenting #attachmentparenting #peacefulparenting</t>
  </si>
  <si>
    <t>Fast-growing. Coaching-style content converts well.</t>
  </si>
  <si>
    <t>"relationship coach" "marriage advice" "dating coach" "couples therapist"</t>
  </si>
  <si>
    <t>Filter by micro accounts (15K–80K) with high comment engagement</t>
  </si>
  <si>
    <t>PIPELINE TRACKER — DAILY METRICS</t>
  </si>
  <si>
    <t>Date</t>
  </si>
  <si>
    <t>DMs Sent</t>
  </si>
  <si>
    <t>Responses</t>
  </si>
  <si>
    <t>Response Rate</t>
  </si>
  <si>
    <t>Calls Booked</t>
  </si>
  <si>
    <t>Call Rate</t>
  </si>
  <si>
    <t>Partnerships Closed</t>
  </si>
  <si>
    <t>Close Rate</t>
  </si>
  <si>
    <t>Revenue (Your 30%)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</si>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</sst>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9" x14ac:knownFonts="1">
    <font>
      <sz val="11"/>
      <color theme="1"/>
      <name val="Calibri"/>
      <family val="2"/>
      <charset val="1"/>
    </font>
    <font>
      <b/>
      <sz val="14"/>
      <color rgb="FFE94560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1B5E20"/>
      <name val="Arial"/>
      <charset val="1"/>
    </font>
    <font>
      <b/>
      <sz val="9"/>
      <color rgb="FFE65100"/>
      <name val="Arial"/>
      <charset val="1"/>
    </font>
    <font>
      <b/>
      <sz val="13"/>
      <color rgb="FFE94560"/>
      <name val="Arial"/>
      <charset val="1"/>
    </font>
    <font>
      <b/>
      <sz val="10"/>
      <color rgb="FFE94560"/>
      <name val="Arial"/>
      <charset val="1"/>
    </font>
    <font>
      <b/>
      <sz val="1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F2F2F2"/>
        <bgColor rgb="FFE8F5E9"/>
      </patternFill>
    </fill>
    <fill>
      <patternFill patternType="solid">
        <fgColor rgb="FFE3F2FD"/>
        <bgColor rgb="FFE8F5E9"/>
      </patternFill>
    </fill>
    <fill>
      <patternFill patternType="solid">
        <fgColor rgb="FFD6F4D4"/>
        <bgColor rgb="FFE8F5E9"/>
      </patternFill>
    </fill>
    <fill>
      <patternFill patternType="solid">
        <fgColor rgb="FFFFFFFF"/>
        <bgColor rgb="FFF2F2F2"/>
      </patternFill>
    </fill>
    <fill>
      <patternFill patternType="solid">
        <fgColor rgb="FFFFF9C4"/>
        <bgColor rgb="FFFFF3E0"/>
      </patternFill>
    </fill>
    <fill>
      <patternFill patternType="solid">
        <fgColor rgb="FFFFE0E0"/>
        <bgColor rgb="FFFCE4EC"/>
      </patternFill>
    </fill>
    <fill>
      <patternFill patternType="solid">
        <fgColor rgb="FFE8F5E9"/>
        <bgColor rgb="FFF2F2F2"/>
      </patternFill>
    </fill>
    <fill>
      <patternFill patternType="solid">
        <fgColor rgb="FFFCE4EC"/>
        <bgColor rgb="FFFFE0E0"/>
      </patternFill>
    </fill>
    <fill>
      <patternFill patternType="solid">
        <fgColor rgb="FFFFF3E0"/>
        <bgColor rgb="FFF2F2F2"/>
      </patternFill>
    </fill>
    <fill>
      <patternFill patternType="solid">
        <fgColor rgb="FF16213E"/>
        <bgColor rgb="FF1A1A2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164" fontId="3" fillId="7" borderId="1" xfId="0" applyNumberFormat="1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E94560"/>
      <rgbColor rgb="FFFFF9C4"/>
      <rgbColor rgb="FFE3F2FD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6F4D4"/>
      <rgbColor rgb="FFFFF3E0"/>
      <rgbColor rgb="FFF2F2F2"/>
      <rgbColor rgb="FFFF99CC"/>
      <rgbColor rgb="FFCC99FF"/>
      <rgbColor rgb="FFFFE0E0"/>
      <rgbColor rgb="FF3366FF"/>
      <rgbColor rgb="FF2ECC71"/>
      <rgbColor rgb="FF99CC00"/>
      <rgbColor rgb="FFFFCC00"/>
      <rgbColor rgb="FFFF9900"/>
      <rgbColor rgb="FFE65100"/>
      <rgbColor rgb="FF666699"/>
      <rgbColor rgb="FF969696"/>
      <rgbColor rgb="FF0F3460"/>
      <rgbColor rgb="FF339966"/>
      <rgbColor rgb="FF003300"/>
      <rgbColor rgb="FF1A1A2E"/>
      <rgbColor rgb="FF993300"/>
      <rgbColor rgb="FF993366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L40"/>
  <sheetViews>
    <sheetView tabSelected="1"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4.03515625" customWidth="1"/>
    <col min="2" max="2" width="25.9609375" customWidth="1"/>
    <col min="3" max="3" width="18.0234375" customWidth="1"/>
    <col min="4" max="4" width="20.04296875" customWidth="1"/>
    <col min="5" max="5" width="13.98828125" customWidth="1"/>
    <col min="6" max="6" width="41.96875" customWidth="1"/>
    <col min="7" max="7" width="37.93359375" customWidth="1"/>
    <col min="8" max="9" width="16.0078125" customWidth="1"/>
    <col min="10" max="10" width="18.0234375" customWidth="1"/>
    <col min="11" max="11" width="13.046875" customWidth="1"/>
    <col min="12" max="12" width="27.98046875" customWidth="1"/>
  </cols>
  <sheetData>
    <row r="1" spans="1:12" ht="36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1.5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43.5" customHeight="1" x14ac:dyDescent="0.2">
      <c r="A3" s="4">
        <v>1</v>
      </c>
      <c r="B3" s="5" t="s">
        <v>13</v>
      </c>
      <c r="C3" s="6" t="s">
        <v>14</v>
      </c>
      <c r="D3" s="5" t="s">
        <v>15</v>
      </c>
      <c r="E3" s="4" t="s">
        <v>16</v>
      </c>
      <c r="F3" s="5" t="s">
        <v>17</v>
      </c>
      <c r="G3" s="5" t="s">
        <v>18</v>
      </c>
      <c r="H3" s="7">
        <v>9</v>
      </c>
      <c r="I3" s="4" t="s">
        <v>19</v>
      </c>
      <c r="J3" s="5"/>
      <c r="K3" s="4" t="s">
        <v>20</v>
      </c>
      <c r="L3" s="5"/>
    </row>
    <row r="4" spans="1:12" ht="43.5" customHeight="1" x14ac:dyDescent="0.2">
      <c r="A4" s="8">
        <v>2</v>
      </c>
      <c r="B4" s="9" t="s">
        <v>21</v>
      </c>
      <c r="C4" s="6" t="s">
        <v>14</v>
      </c>
      <c r="D4" s="9" t="s">
        <v>22</v>
      </c>
      <c r="E4" s="8" t="s">
        <v>23</v>
      </c>
      <c r="F4" s="9" t="s">
        <v>24</v>
      </c>
      <c r="G4" s="9" t="s">
        <v>25</v>
      </c>
      <c r="H4" s="10">
        <v>8</v>
      </c>
      <c r="I4" s="8" t="s">
        <v>19</v>
      </c>
      <c r="J4" s="9"/>
      <c r="K4" s="8" t="s">
        <v>20</v>
      </c>
      <c r="L4" s="9"/>
    </row>
    <row r="5" spans="1:12" ht="43.5" customHeight="1" x14ac:dyDescent="0.2">
      <c r="A5" s="4">
        <v>3</v>
      </c>
      <c r="B5" s="5" t="s">
        <v>26</v>
      </c>
      <c r="C5" s="6" t="s">
        <v>14</v>
      </c>
      <c r="D5" s="5" t="s">
        <v>27</v>
      </c>
      <c r="E5" s="4" t="s">
        <v>28</v>
      </c>
      <c r="F5" s="5" t="s">
        <v>29</v>
      </c>
      <c r="G5" s="5" t="s">
        <v>30</v>
      </c>
      <c r="H5" s="7">
        <v>9</v>
      </c>
      <c r="I5" s="4" t="s">
        <v>19</v>
      </c>
      <c r="J5" s="5"/>
      <c r="K5" s="4" t="s">
        <v>20</v>
      </c>
      <c r="L5" s="5"/>
    </row>
    <row r="6" spans="1:12" ht="43.5" customHeight="1" x14ac:dyDescent="0.2">
      <c r="A6" s="8">
        <v>4</v>
      </c>
      <c r="B6" s="9" t="s">
        <v>31</v>
      </c>
      <c r="C6" s="6" t="s">
        <v>14</v>
      </c>
      <c r="D6" s="9" t="s">
        <v>32</v>
      </c>
      <c r="E6" s="8" t="s">
        <v>33</v>
      </c>
      <c r="F6" s="9" t="s">
        <v>34</v>
      </c>
      <c r="G6" s="9" t="s">
        <v>35</v>
      </c>
      <c r="H6" s="10">
        <v>8</v>
      </c>
      <c r="I6" s="8" t="s">
        <v>19</v>
      </c>
      <c r="J6" s="9"/>
      <c r="K6" s="8" t="s">
        <v>20</v>
      </c>
      <c r="L6" s="9"/>
    </row>
    <row r="7" spans="1:12" ht="43.5" customHeight="1" x14ac:dyDescent="0.2">
      <c r="A7" s="4">
        <v>5</v>
      </c>
      <c r="B7" s="5" t="s">
        <v>36</v>
      </c>
      <c r="C7" s="6" t="s">
        <v>14</v>
      </c>
      <c r="D7" s="5" t="s">
        <v>37</v>
      </c>
      <c r="E7" s="4" t="s">
        <v>38</v>
      </c>
      <c r="F7" s="5" t="s">
        <v>39</v>
      </c>
      <c r="G7" s="5" t="s">
        <v>40</v>
      </c>
      <c r="H7" s="10">
        <v>7</v>
      </c>
      <c r="I7" s="4" t="s">
        <v>19</v>
      </c>
      <c r="J7" s="5"/>
      <c r="K7" s="4" t="s">
        <v>20</v>
      </c>
      <c r="L7" s="5"/>
    </row>
    <row r="8" spans="1:12" ht="43.5" customHeight="1" x14ac:dyDescent="0.2">
      <c r="A8" s="8">
        <v>6</v>
      </c>
      <c r="B8" s="9" t="s">
        <v>41</v>
      </c>
      <c r="C8" s="6" t="s">
        <v>14</v>
      </c>
      <c r="D8" s="9" t="s">
        <v>37</v>
      </c>
      <c r="E8" s="8" t="s">
        <v>42</v>
      </c>
      <c r="F8" s="9" t="s">
        <v>43</v>
      </c>
      <c r="G8" s="9" t="s">
        <v>44</v>
      </c>
      <c r="H8" s="10">
        <v>7</v>
      </c>
      <c r="I8" s="8" t="s">
        <v>19</v>
      </c>
      <c r="J8" s="9"/>
      <c r="K8" s="8" t="s">
        <v>20</v>
      </c>
      <c r="L8" s="9"/>
    </row>
    <row r="9" spans="1:12" ht="43.5" customHeight="1" x14ac:dyDescent="0.2">
      <c r="A9" s="4">
        <v>7</v>
      </c>
      <c r="B9" s="5" t="s">
        <v>45</v>
      </c>
      <c r="C9" s="6" t="s">
        <v>14</v>
      </c>
      <c r="D9" s="5" t="s">
        <v>46</v>
      </c>
      <c r="E9" s="4" t="s">
        <v>47</v>
      </c>
      <c r="F9" s="5" t="s">
        <v>48</v>
      </c>
      <c r="G9" s="5" t="s">
        <v>49</v>
      </c>
      <c r="H9" s="10">
        <v>8</v>
      </c>
      <c r="I9" s="4" t="s">
        <v>19</v>
      </c>
      <c r="J9" s="5"/>
      <c r="K9" s="4" t="s">
        <v>20</v>
      </c>
      <c r="L9" s="5"/>
    </row>
    <row r="10" spans="1:12" ht="43.5" customHeight="1" x14ac:dyDescent="0.2">
      <c r="A10" s="8">
        <v>8</v>
      </c>
      <c r="B10" s="9" t="s">
        <v>50</v>
      </c>
      <c r="C10" s="6" t="s">
        <v>14</v>
      </c>
      <c r="D10" s="9" t="s">
        <v>51</v>
      </c>
      <c r="E10" s="8" t="s">
        <v>52</v>
      </c>
      <c r="F10" s="9" t="s">
        <v>53</v>
      </c>
      <c r="G10" s="9" t="s">
        <v>54</v>
      </c>
      <c r="H10" s="11">
        <v>6</v>
      </c>
      <c r="I10" s="8" t="s">
        <v>19</v>
      </c>
      <c r="J10" s="9"/>
      <c r="K10" s="8" t="s">
        <v>20</v>
      </c>
      <c r="L10" s="9"/>
    </row>
    <row r="11" spans="1:12" ht="43.5" customHeight="1" x14ac:dyDescent="0.2">
      <c r="A11" s="4">
        <v>9</v>
      </c>
      <c r="B11" s="5" t="s">
        <v>55</v>
      </c>
      <c r="C11" s="6" t="s">
        <v>14</v>
      </c>
      <c r="D11" s="5" t="s">
        <v>56</v>
      </c>
      <c r="E11" s="4" t="s">
        <v>57</v>
      </c>
      <c r="F11" s="5" t="s">
        <v>58</v>
      </c>
      <c r="G11" s="5" t="s">
        <v>59</v>
      </c>
      <c r="H11" s="7">
        <v>9</v>
      </c>
      <c r="I11" s="4" t="s">
        <v>19</v>
      </c>
      <c r="J11" s="5"/>
      <c r="K11" s="4" t="s">
        <v>20</v>
      </c>
      <c r="L11" s="5"/>
    </row>
    <row r="12" spans="1:12" ht="43.5" customHeight="1" x14ac:dyDescent="0.2">
      <c r="A12" s="8">
        <v>10</v>
      </c>
      <c r="B12" s="9" t="s">
        <v>60</v>
      </c>
      <c r="C12" s="6" t="s">
        <v>14</v>
      </c>
      <c r="D12" s="9" t="s">
        <v>61</v>
      </c>
      <c r="E12" s="8" t="s">
        <v>62</v>
      </c>
      <c r="F12" s="9" t="s">
        <v>63</v>
      </c>
      <c r="G12" s="9" t="s">
        <v>64</v>
      </c>
      <c r="H12" s="10">
        <v>8</v>
      </c>
      <c r="I12" s="8" t="s">
        <v>19</v>
      </c>
      <c r="J12" s="9"/>
      <c r="K12" s="8" t="s">
        <v>20</v>
      </c>
      <c r="L12" s="9"/>
    </row>
    <row r="13" spans="1:12" ht="43.5" customHeight="1" x14ac:dyDescent="0.2">
      <c r="A13" s="4">
        <v>11</v>
      </c>
      <c r="B13" s="5" t="s">
        <v>65</v>
      </c>
      <c r="C13" s="6" t="s">
        <v>14</v>
      </c>
      <c r="D13" s="5" t="s">
        <v>66</v>
      </c>
      <c r="E13" s="4" t="s">
        <v>67</v>
      </c>
      <c r="F13" s="5" t="s">
        <v>68</v>
      </c>
      <c r="G13" s="5" t="s">
        <v>69</v>
      </c>
      <c r="H13" s="7">
        <v>9</v>
      </c>
      <c r="I13" s="4" t="s">
        <v>19</v>
      </c>
      <c r="J13" s="5"/>
      <c r="K13" s="4" t="s">
        <v>20</v>
      </c>
      <c r="L13" s="5"/>
    </row>
    <row r="14" spans="1:12" ht="43.5" customHeight="1" x14ac:dyDescent="0.2">
      <c r="A14" s="8">
        <v>12</v>
      </c>
      <c r="B14" s="9" t="s">
        <v>70</v>
      </c>
      <c r="C14" s="6" t="s">
        <v>14</v>
      </c>
      <c r="D14" s="9" t="s">
        <v>71</v>
      </c>
      <c r="E14" s="8" t="s">
        <v>72</v>
      </c>
      <c r="F14" s="9" t="s">
        <v>73</v>
      </c>
      <c r="G14" s="9" t="s">
        <v>74</v>
      </c>
      <c r="H14" s="10">
        <v>7</v>
      </c>
      <c r="I14" s="8" t="s">
        <v>19</v>
      </c>
      <c r="J14" s="9"/>
      <c r="K14" s="8" t="s">
        <v>20</v>
      </c>
      <c r="L14" s="9"/>
    </row>
    <row r="15" spans="1:12" ht="43.5" customHeight="1" x14ac:dyDescent="0.2">
      <c r="A15" s="4">
        <v>13</v>
      </c>
      <c r="B15" s="5" t="s">
        <v>75</v>
      </c>
      <c r="C15" s="6" t="s">
        <v>14</v>
      </c>
      <c r="D15" s="5" t="s">
        <v>76</v>
      </c>
      <c r="E15" s="4" t="s">
        <v>77</v>
      </c>
      <c r="F15" s="5" t="s">
        <v>78</v>
      </c>
      <c r="G15" s="5" t="s">
        <v>79</v>
      </c>
      <c r="H15" s="11">
        <v>6</v>
      </c>
      <c r="I15" s="4" t="s">
        <v>19</v>
      </c>
      <c r="J15" s="5"/>
      <c r="K15" s="4" t="s">
        <v>20</v>
      </c>
      <c r="L15" s="5"/>
    </row>
    <row r="16" spans="1:12" ht="43.5" customHeight="1" x14ac:dyDescent="0.2">
      <c r="A16" s="8">
        <v>14</v>
      </c>
      <c r="B16" s="9" t="s">
        <v>80</v>
      </c>
      <c r="C16" s="6" t="s">
        <v>14</v>
      </c>
      <c r="D16" s="9" t="s">
        <v>81</v>
      </c>
      <c r="E16" s="8" t="s">
        <v>82</v>
      </c>
      <c r="F16" s="9" t="s">
        <v>83</v>
      </c>
      <c r="G16" s="9" t="s">
        <v>84</v>
      </c>
      <c r="H16" s="7">
        <v>9</v>
      </c>
      <c r="I16" s="8" t="s">
        <v>19</v>
      </c>
      <c r="J16" s="9"/>
      <c r="K16" s="8" t="s">
        <v>20</v>
      </c>
      <c r="L16" s="9"/>
    </row>
    <row r="17" spans="1:12" ht="43.5" customHeight="1" x14ac:dyDescent="0.2">
      <c r="A17" s="4">
        <v>15</v>
      </c>
      <c r="B17" s="5" t="s">
        <v>85</v>
      </c>
      <c r="C17" s="6" t="s">
        <v>14</v>
      </c>
      <c r="D17" s="5" t="s">
        <v>86</v>
      </c>
      <c r="E17" s="4" t="s">
        <v>87</v>
      </c>
      <c r="F17" s="5" t="s">
        <v>88</v>
      </c>
      <c r="G17" s="5" t="s">
        <v>89</v>
      </c>
      <c r="H17" s="10">
        <v>7</v>
      </c>
      <c r="I17" s="4" t="s">
        <v>19</v>
      </c>
      <c r="J17" s="5"/>
      <c r="K17" s="4" t="s">
        <v>20</v>
      </c>
      <c r="L17" s="5"/>
    </row>
    <row r="18" spans="1:12" ht="43.5" customHeight="1" x14ac:dyDescent="0.2">
      <c r="A18" s="8">
        <v>16</v>
      </c>
      <c r="B18" s="9" t="s">
        <v>90</v>
      </c>
      <c r="C18" s="12" t="s">
        <v>91</v>
      </c>
      <c r="D18" s="9" t="s">
        <v>92</v>
      </c>
      <c r="E18" s="8" t="s">
        <v>93</v>
      </c>
      <c r="F18" s="9" t="s">
        <v>94</v>
      </c>
      <c r="G18" s="9" t="s">
        <v>95</v>
      </c>
      <c r="H18" s="10">
        <v>8</v>
      </c>
      <c r="I18" s="8" t="s">
        <v>19</v>
      </c>
      <c r="J18" s="9"/>
      <c r="K18" s="8" t="s">
        <v>20</v>
      </c>
      <c r="L18" s="9"/>
    </row>
    <row r="19" spans="1:12" ht="43.5" customHeight="1" x14ac:dyDescent="0.2">
      <c r="A19" s="4">
        <v>17</v>
      </c>
      <c r="B19" s="5" t="s">
        <v>96</v>
      </c>
      <c r="C19" s="12" t="s">
        <v>91</v>
      </c>
      <c r="D19" s="5" t="s">
        <v>97</v>
      </c>
      <c r="E19" s="4" t="s">
        <v>98</v>
      </c>
      <c r="F19" s="5" t="s">
        <v>99</v>
      </c>
      <c r="G19" s="5" t="s">
        <v>100</v>
      </c>
      <c r="H19" s="10">
        <v>7</v>
      </c>
      <c r="I19" s="4" t="s">
        <v>19</v>
      </c>
      <c r="J19" s="5"/>
      <c r="K19" s="4" t="s">
        <v>20</v>
      </c>
      <c r="L19" s="5"/>
    </row>
    <row r="20" spans="1:12" ht="43.5" customHeight="1" x14ac:dyDescent="0.2">
      <c r="A20" s="8">
        <v>18</v>
      </c>
      <c r="B20" s="9" t="s">
        <v>101</v>
      </c>
      <c r="C20" s="12" t="s">
        <v>91</v>
      </c>
      <c r="D20" s="9" t="s">
        <v>102</v>
      </c>
      <c r="E20" s="8" t="s">
        <v>103</v>
      </c>
      <c r="F20" s="9" t="s">
        <v>104</v>
      </c>
      <c r="G20" s="9" t="s">
        <v>105</v>
      </c>
      <c r="H20" s="7">
        <v>9</v>
      </c>
      <c r="I20" s="8" t="s">
        <v>19</v>
      </c>
      <c r="J20" s="9"/>
      <c r="K20" s="8" t="s">
        <v>20</v>
      </c>
      <c r="L20" s="9"/>
    </row>
    <row r="21" spans="1:12" ht="43.5" customHeight="1" x14ac:dyDescent="0.2">
      <c r="A21" s="4">
        <v>19</v>
      </c>
      <c r="B21" s="5" t="s">
        <v>106</v>
      </c>
      <c r="C21" s="12" t="s">
        <v>91</v>
      </c>
      <c r="D21" s="5" t="s">
        <v>107</v>
      </c>
      <c r="E21" s="4" t="s">
        <v>108</v>
      </c>
      <c r="F21" s="5" t="s">
        <v>109</v>
      </c>
      <c r="G21" s="5" t="s">
        <v>110</v>
      </c>
      <c r="H21" s="10">
        <v>7</v>
      </c>
      <c r="I21" s="4" t="s">
        <v>19</v>
      </c>
      <c r="J21" s="5"/>
      <c r="K21" s="4" t="s">
        <v>20</v>
      </c>
      <c r="L21" s="5"/>
    </row>
    <row r="22" spans="1:12" ht="43.5" customHeight="1" x14ac:dyDescent="0.2">
      <c r="A22" s="8">
        <v>20</v>
      </c>
      <c r="B22" s="9" t="s">
        <v>111</v>
      </c>
      <c r="C22" s="12" t="s">
        <v>91</v>
      </c>
      <c r="D22" s="9" t="s">
        <v>112</v>
      </c>
      <c r="E22" s="8" t="s">
        <v>113</v>
      </c>
      <c r="F22" s="9" t="s">
        <v>114</v>
      </c>
      <c r="G22" s="9" t="s">
        <v>115</v>
      </c>
      <c r="H22" s="10">
        <v>8</v>
      </c>
      <c r="I22" s="8" t="s">
        <v>19</v>
      </c>
      <c r="J22" s="9"/>
      <c r="K22" s="8" t="s">
        <v>20</v>
      </c>
      <c r="L22" s="9"/>
    </row>
    <row r="23" spans="1:12" ht="43.5" customHeight="1" x14ac:dyDescent="0.2">
      <c r="A23" s="4">
        <v>21</v>
      </c>
      <c r="B23" s="5" t="s">
        <v>116</v>
      </c>
      <c r="C23" s="12" t="s">
        <v>91</v>
      </c>
      <c r="D23" s="5" t="s">
        <v>117</v>
      </c>
      <c r="E23" s="4" t="s">
        <v>118</v>
      </c>
      <c r="F23" s="5" t="s">
        <v>119</v>
      </c>
      <c r="G23" s="5" t="s">
        <v>120</v>
      </c>
      <c r="H23" s="10">
        <v>8</v>
      </c>
      <c r="I23" s="4" t="s">
        <v>19</v>
      </c>
      <c r="J23" s="5"/>
      <c r="K23" s="4" t="s">
        <v>20</v>
      </c>
      <c r="L23" s="5"/>
    </row>
    <row r="24" spans="1:12" ht="43.5" customHeight="1" x14ac:dyDescent="0.2">
      <c r="A24" s="8">
        <v>22</v>
      </c>
      <c r="B24" s="9" t="s">
        <v>121</v>
      </c>
      <c r="C24" s="12" t="s">
        <v>91</v>
      </c>
      <c r="D24" s="9" t="s">
        <v>122</v>
      </c>
      <c r="E24" s="8" t="s">
        <v>123</v>
      </c>
      <c r="F24" s="9" t="s">
        <v>124</v>
      </c>
      <c r="G24" s="9" t="s">
        <v>125</v>
      </c>
      <c r="H24" s="7">
        <v>9</v>
      </c>
      <c r="I24" s="8" t="s">
        <v>19</v>
      </c>
      <c r="J24" s="9"/>
      <c r="K24" s="8" t="s">
        <v>20</v>
      </c>
      <c r="L24" s="9"/>
    </row>
    <row r="25" spans="1:12" ht="43.5" customHeight="1" x14ac:dyDescent="0.2">
      <c r="A25" s="4">
        <v>23</v>
      </c>
      <c r="B25" s="5" t="s">
        <v>126</v>
      </c>
      <c r="C25" s="12" t="s">
        <v>91</v>
      </c>
      <c r="D25" s="5" t="s">
        <v>127</v>
      </c>
      <c r="E25" s="4" t="s">
        <v>128</v>
      </c>
      <c r="F25" s="5" t="s">
        <v>129</v>
      </c>
      <c r="G25" s="5" t="s">
        <v>130</v>
      </c>
      <c r="H25" s="10">
        <v>8</v>
      </c>
      <c r="I25" s="4" t="s">
        <v>19</v>
      </c>
      <c r="J25" s="5"/>
      <c r="K25" s="4" t="s">
        <v>20</v>
      </c>
      <c r="L25" s="5"/>
    </row>
    <row r="26" spans="1:12" ht="43.5" customHeight="1" x14ac:dyDescent="0.2">
      <c r="A26" s="8">
        <v>24</v>
      </c>
      <c r="B26" s="9" t="s">
        <v>131</v>
      </c>
      <c r="C26" s="12" t="s">
        <v>91</v>
      </c>
      <c r="D26" s="9" t="s">
        <v>132</v>
      </c>
      <c r="E26" s="8" t="s">
        <v>133</v>
      </c>
      <c r="F26" s="9" t="s">
        <v>134</v>
      </c>
      <c r="G26" s="9" t="s">
        <v>135</v>
      </c>
      <c r="H26" s="10">
        <v>8</v>
      </c>
      <c r="I26" s="8" t="s">
        <v>19</v>
      </c>
      <c r="J26" s="9"/>
      <c r="K26" s="8" t="s">
        <v>20</v>
      </c>
      <c r="L26" s="9"/>
    </row>
    <row r="27" spans="1:12" ht="43.5" customHeight="1" x14ac:dyDescent="0.2">
      <c r="A27" s="4">
        <v>25</v>
      </c>
      <c r="B27" s="5" t="s">
        <v>136</v>
      </c>
      <c r="C27" s="12" t="s">
        <v>91</v>
      </c>
      <c r="D27" s="5" t="s">
        <v>137</v>
      </c>
      <c r="E27" s="4" t="s">
        <v>138</v>
      </c>
      <c r="F27" s="5" t="s">
        <v>139</v>
      </c>
      <c r="G27" s="5" t="s">
        <v>140</v>
      </c>
      <c r="H27" s="11">
        <v>6</v>
      </c>
      <c r="I27" s="4" t="s">
        <v>19</v>
      </c>
      <c r="J27" s="5"/>
      <c r="K27" s="4" t="s">
        <v>20</v>
      </c>
      <c r="L27" s="5"/>
    </row>
    <row r="28" spans="1:12" ht="43.5" customHeight="1" x14ac:dyDescent="0.2">
      <c r="A28" s="8">
        <v>26</v>
      </c>
      <c r="B28" s="9" t="s">
        <v>141</v>
      </c>
      <c r="C28" s="13" t="s">
        <v>142</v>
      </c>
      <c r="D28" s="9" t="s">
        <v>143</v>
      </c>
      <c r="E28" s="8" t="s">
        <v>144</v>
      </c>
      <c r="F28" s="9" t="s">
        <v>145</v>
      </c>
      <c r="G28" s="9" t="s">
        <v>146</v>
      </c>
      <c r="H28" s="10">
        <v>7</v>
      </c>
      <c r="I28" s="8" t="s">
        <v>19</v>
      </c>
      <c r="J28" s="9"/>
      <c r="K28" s="8" t="s">
        <v>20</v>
      </c>
      <c r="L28" s="9"/>
    </row>
    <row r="29" spans="1:12" ht="43.5" customHeight="1" x14ac:dyDescent="0.2">
      <c r="A29" s="4">
        <v>27</v>
      </c>
      <c r="B29" s="5" t="s">
        <v>147</v>
      </c>
      <c r="C29" s="13" t="s">
        <v>142</v>
      </c>
      <c r="D29" s="5" t="s">
        <v>148</v>
      </c>
      <c r="E29" s="4" t="s">
        <v>149</v>
      </c>
      <c r="F29" s="5" t="s">
        <v>150</v>
      </c>
      <c r="G29" s="5" t="s">
        <v>151</v>
      </c>
      <c r="H29" s="7">
        <v>9</v>
      </c>
      <c r="I29" s="4" t="s">
        <v>19</v>
      </c>
      <c r="J29" s="5"/>
      <c r="K29" s="4" t="s">
        <v>20</v>
      </c>
      <c r="L29" s="5"/>
    </row>
    <row r="30" spans="1:12" ht="43.5" customHeight="1" x14ac:dyDescent="0.2">
      <c r="A30" s="8">
        <v>28</v>
      </c>
      <c r="B30" s="9" t="s">
        <v>152</v>
      </c>
      <c r="C30" s="13" t="s">
        <v>142</v>
      </c>
      <c r="D30" s="9" t="s">
        <v>153</v>
      </c>
      <c r="E30" s="8" t="s">
        <v>154</v>
      </c>
      <c r="F30" s="9" t="s">
        <v>155</v>
      </c>
      <c r="G30" s="9" t="s">
        <v>156</v>
      </c>
      <c r="H30" s="11">
        <v>6</v>
      </c>
      <c r="I30" s="8" t="s">
        <v>19</v>
      </c>
      <c r="J30" s="9"/>
      <c r="K30" s="8" t="s">
        <v>20</v>
      </c>
      <c r="L30" s="9"/>
    </row>
    <row r="31" spans="1:12" ht="43.5" customHeight="1" x14ac:dyDescent="0.2">
      <c r="A31" s="4">
        <v>29</v>
      </c>
      <c r="B31" s="5" t="s">
        <v>157</v>
      </c>
      <c r="C31" s="13" t="s">
        <v>142</v>
      </c>
      <c r="D31" s="5" t="s">
        <v>158</v>
      </c>
      <c r="E31" s="4" t="s">
        <v>133</v>
      </c>
      <c r="F31" s="5" t="s">
        <v>159</v>
      </c>
      <c r="G31" s="5" t="s">
        <v>160</v>
      </c>
      <c r="H31" s="7">
        <v>9</v>
      </c>
      <c r="I31" s="4" t="s">
        <v>19</v>
      </c>
      <c r="J31" s="5"/>
      <c r="K31" s="4" t="s">
        <v>20</v>
      </c>
      <c r="L31" s="5"/>
    </row>
    <row r="32" spans="1:12" ht="43.5" customHeight="1" x14ac:dyDescent="0.2">
      <c r="A32" s="8">
        <v>30</v>
      </c>
      <c r="B32" s="9" t="s">
        <v>161</v>
      </c>
      <c r="C32" s="13" t="s">
        <v>142</v>
      </c>
      <c r="D32" s="9" t="s">
        <v>162</v>
      </c>
      <c r="E32" s="8" t="s">
        <v>163</v>
      </c>
      <c r="F32" s="9" t="s">
        <v>164</v>
      </c>
      <c r="G32" s="9" t="s">
        <v>165</v>
      </c>
      <c r="H32" s="11">
        <v>5</v>
      </c>
      <c r="I32" s="8" t="s">
        <v>19</v>
      </c>
      <c r="J32" s="9"/>
      <c r="K32" s="8" t="s">
        <v>20</v>
      </c>
      <c r="L32" s="9"/>
    </row>
    <row r="33" spans="1:12" ht="43.5" customHeight="1" x14ac:dyDescent="0.2">
      <c r="A33" s="4">
        <v>31</v>
      </c>
      <c r="B33" s="5" t="s">
        <v>166</v>
      </c>
      <c r="C33" s="13" t="s">
        <v>142</v>
      </c>
      <c r="D33" s="5" t="s">
        <v>167</v>
      </c>
      <c r="E33" s="4" t="s">
        <v>168</v>
      </c>
      <c r="F33" s="5" t="s">
        <v>169</v>
      </c>
      <c r="G33" s="5" t="s">
        <v>170</v>
      </c>
      <c r="H33" s="10">
        <v>7</v>
      </c>
      <c r="I33" s="4" t="s">
        <v>19</v>
      </c>
      <c r="J33" s="5"/>
      <c r="K33" s="4" t="s">
        <v>20</v>
      </c>
      <c r="L33" s="5"/>
    </row>
    <row r="34" spans="1:12" ht="43.5" customHeight="1" x14ac:dyDescent="0.2">
      <c r="A34" s="8">
        <v>32</v>
      </c>
      <c r="B34" s="9" t="s">
        <v>171</v>
      </c>
      <c r="C34" s="14" t="s">
        <v>172</v>
      </c>
      <c r="D34" s="9" t="s">
        <v>173</v>
      </c>
      <c r="E34" s="8" t="s">
        <v>174</v>
      </c>
      <c r="F34" s="9" t="s">
        <v>175</v>
      </c>
      <c r="G34" s="9" t="s">
        <v>176</v>
      </c>
      <c r="H34" s="11">
        <v>6</v>
      </c>
      <c r="I34" s="8" t="s">
        <v>19</v>
      </c>
      <c r="J34" s="9"/>
      <c r="K34" s="8" t="s">
        <v>20</v>
      </c>
      <c r="L34" s="9"/>
    </row>
    <row r="35" spans="1:12" ht="43.5" customHeight="1" x14ac:dyDescent="0.2">
      <c r="A35" s="4">
        <v>33</v>
      </c>
      <c r="B35" s="5" t="s">
        <v>177</v>
      </c>
      <c r="C35" s="14" t="s">
        <v>172</v>
      </c>
      <c r="D35" s="5" t="s">
        <v>178</v>
      </c>
      <c r="E35" s="4" t="s">
        <v>179</v>
      </c>
      <c r="F35" s="5" t="s">
        <v>180</v>
      </c>
      <c r="G35" s="5" t="s">
        <v>181</v>
      </c>
      <c r="H35" s="11">
        <v>5</v>
      </c>
      <c r="I35" s="4" t="s">
        <v>19</v>
      </c>
      <c r="J35" s="5"/>
      <c r="K35" s="4" t="s">
        <v>20</v>
      </c>
      <c r="L35" s="5"/>
    </row>
    <row r="36" spans="1:12" ht="43.5" customHeight="1" x14ac:dyDescent="0.2">
      <c r="A36" s="8">
        <v>34</v>
      </c>
      <c r="B36" s="9" t="s">
        <v>182</v>
      </c>
      <c r="C36" s="14" t="s">
        <v>172</v>
      </c>
      <c r="D36" s="9" t="s">
        <v>183</v>
      </c>
      <c r="E36" s="8" t="s">
        <v>184</v>
      </c>
      <c r="F36" s="9" t="s">
        <v>185</v>
      </c>
      <c r="G36" s="9" t="s">
        <v>186</v>
      </c>
      <c r="H36" s="7">
        <v>9</v>
      </c>
      <c r="I36" s="8" t="s">
        <v>19</v>
      </c>
      <c r="J36" s="9"/>
      <c r="K36" s="8" t="s">
        <v>20</v>
      </c>
      <c r="L36" s="9"/>
    </row>
    <row r="37" spans="1:12" ht="43.5" customHeight="1" x14ac:dyDescent="0.2">
      <c r="A37" s="4">
        <v>35</v>
      </c>
      <c r="B37" s="5" t="s">
        <v>187</v>
      </c>
      <c r="C37" s="14" t="s">
        <v>172</v>
      </c>
      <c r="D37" s="5" t="s">
        <v>188</v>
      </c>
      <c r="E37" s="4" t="s">
        <v>189</v>
      </c>
      <c r="F37" s="5" t="s">
        <v>190</v>
      </c>
      <c r="G37" s="5" t="s">
        <v>191</v>
      </c>
      <c r="H37" s="10">
        <v>8</v>
      </c>
      <c r="I37" s="4" t="s">
        <v>19</v>
      </c>
      <c r="J37" s="5"/>
      <c r="K37" s="4" t="s">
        <v>20</v>
      </c>
      <c r="L37" s="5"/>
    </row>
    <row r="38" spans="1:12" ht="43.5" customHeight="1" x14ac:dyDescent="0.2">
      <c r="A38" s="8">
        <v>36</v>
      </c>
      <c r="B38" s="9" t="s">
        <v>192</v>
      </c>
      <c r="C38" s="14" t="s">
        <v>172</v>
      </c>
      <c r="D38" s="9" t="s">
        <v>193</v>
      </c>
      <c r="E38" s="8" t="s">
        <v>194</v>
      </c>
      <c r="F38" s="9" t="s">
        <v>195</v>
      </c>
      <c r="G38" s="9" t="s">
        <v>196</v>
      </c>
      <c r="H38" s="10">
        <v>7</v>
      </c>
      <c r="I38" s="8" t="s">
        <v>19</v>
      </c>
      <c r="J38" s="9"/>
      <c r="K38" s="8" t="s">
        <v>20</v>
      </c>
      <c r="L38" s="9"/>
    </row>
    <row r="39" spans="1:12" ht="43.5" customHeight="1" x14ac:dyDescent="0.2">
      <c r="A39" s="4">
        <v>37</v>
      </c>
      <c r="B39" s="5" t="s">
        <v>197</v>
      </c>
      <c r="C39" s="14" t="s">
        <v>172</v>
      </c>
      <c r="D39" s="5" t="s">
        <v>198</v>
      </c>
      <c r="E39" s="4" t="s">
        <v>199</v>
      </c>
      <c r="F39" s="5" t="s">
        <v>200</v>
      </c>
      <c r="G39" s="5" t="s">
        <v>201</v>
      </c>
      <c r="H39" s="10">
        <v>7</v>
      </c>
      <c r="I39" s="4" t="s">
        <v>19</v>
      </c>
      <c r="J39" s="5"/>
      <c r="K39" s="4" t="s">
        <v>20</v>
      </c>
      <c r="L39" s="5"/>
    </row>
    <row r="40" spans="1:12" ht="43.5" customHeight="1" x14ac:dyDescent="0.2">
      <c r="A40" s="8">
        <v>38</v>
      </c>
      <c r="B40" s="9" t="s">
        <v>21</v>
      </c>
      <c r="C40" s="14" t="s">
        <v>172</v>
      </c>
      <c r="D40" s="9" t="s">
        <v>202</v>
      </c>
      <c r="E40" s="8" t="s">
        <v>23</v>
      </c>
      <c r="F40" s="9" t="s">
        <v>203</v>
      </c>
      <c r="G40" s="9" t="s">
        <v>204</v>
      </c>
      <c r="H40" s="10">
        <v>8</v>
      </c>
      <c r="I40" s="8" t="s">
        <v>19</v>
      </c>
      <c r="J40" s="9"/>
      <c r="K40" s="8" t="s">
        <v>20</v>
      </c>
      <c r="L40" s="9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3460"/>
  </sheetPr>
  <dimension ref="A1:C32"/>
  <sheetViews>
    <sheetView zoomScaleNormal="100" workbookViewId="0"/>
  </sheetViews>
  <sheetFormatPr defaultColWidth="8.7421875" defaultRowHeight="15" x14ac:dyDescent="0.2"/>
  <cols>
    <col min="1" max="1" width="27.98046875" customWidth="1"/>
    <col min="2" max="2" width="55.01953125" customWidth="1"/>
    <col min="3" max="3" width="34.97265625" customWidth="1"/>
  </cols>
  <sheetData>
    <row r="1" spans="1:3" ht="36" customHeight="1" x14ac:dyDescent="0.2">
      <c r="A1" s="1" t="s">
        <v>205</v>
      </c>
      <c r="B1" s="1"/>
      <c r="C1" s="1"/>
    </row>
    <row r="2" spans="1:3" ht="27.75" customHeight="1" x14ac:dyDescent="0.2">
      <c r="A2" s="3" t="s">
        <v>206</v>
      </c>
      <c r="B2" s="3" t="s">
        <v>207</v>
      </c>
      <c r="C2" s="3" t="s">
        <v>208</v>
      </c>
    </row>
    <row r="3" spans="1:3" ht="36" customHeight="1" x14ac:dyDescent="0.2">
      <c r="A3" s="15" t="s">
        <v>209</v>
      </c>
      <c r="B3" s="15"/>
      <c r="C3" s="15"/>
    </row>
    <row r="4" spans="1:3" ht="36" customHeight="1" x14ac:dyDescent="0.2">
      <c r="A4" s="5" t="s">
        <v>210</v>
      </c>
      <c r="B4" s="5" t="s">
        <v>211</v>
      </c>
      <c r="C4" s="5" t="s">
        <v>212</v>
      </c>
    </row>
    <row r="5" spans="1:3" ht="36" customHeight="1" x14ac:dyDescent="0.2">
      <c r="A5" s="9" t="s">
        <v>213</v>
      </c>
      <c r="B5" s="9" t="s">
        <v>214</v>
      </c>
      <c r="C5" s="9" t="s">
        <v>215</v>
      </c>
    </row>
    <row r="6" spans="1:3" ht="36" customHeight="1" x14ac:dyDescent="0.2">
      <c r="A6" s="5" t="s">
        <v>216</v>
      </c>
      <c r="B6" s="5" t="s">
        <v>217</v>
      </c>
      <c r="C6" s="5" t="s">
        <v>218</v>
      </c>
    </row>
    <row r="7" spans="1:3" ht="36" customHeight="1" x14ac:dyDescent="0.2">
      <c r="A7" s="9" t="s">
        <v>219</v>
      </c>
      <c r="B7" s="9" t="s">
        <v>220</v>
      </c>
      <c r="C7" s="9" t="s">
        <v>221</v>
      </c>
    </row>
    <row r="8" spans="1:3" ht="36" customHeight="1" x14ac:dyDescent="0.2">
      <c r="A8" s="5" t="s">
        <v>222</v>
      </c>
      <c r="B8" s="5" t="s">
        <v>223</v>
      </c>
      <c r="C8" s="5" t="s">
        <v>224</v>
      </c>
    </row>
    <row r="9" spans="1:3" ht="36" customHeight="1" x14ac:dyDescent="0.2">
      <c r="A9" s="9" t="s">
        <v>225</v>
      </c>
      <c r="B9" s="9" t="s">
        <v>226</v>
      </c>
      <c r="C9" s="9" t="s">
        <v>227</v>
      </c>
    </row>
    <row r="10" spans="1:3" ht="36" customHeight="1" x14ac:dyDescent="0.2">
      <c r="A10" s="16"/>
      <c r="B10" s="16"/>
      <c r="C10" s="16"/>
    </row>
    <row r="11" spans="1:3" ht="36" customHeight="1" x14ac:dyDescent="0.2">
      <c r="A11" s="15" t="s">
        <v>228</v>
      </c>
      <c r="B11" s="15"/>
      <c r="C11" s="15"/>
    </row>
    <row r="12" spans="1:3" ht="36" customHeight="1" x14ac:dyDescent="0.2">
      <c r="A12" s="5" t="s">
        <v>210</v>
      </c>
      <c r="B12" s="5" t="s">
        <v>229</v>
      </c>
      <c r="C12" s="5" t="s">
        <v>230</v>
      </c>
    </row>
    <row r="13" spans="1:3" ht="36" customHeight="1" x14ac:dyDescent="0.2">
      <c r="A13" s="9" t="s">
        <v>231</v>
      </c>
      <c r="B13" s="9" t="s">
        <v>232</v>
      </c>
      <c r="C13" s="9" t="s">
        <v>233</v>
      </c>
    </row>
    <row r="14" spans="1:3" ht="36" customHeight="1" x14ac:dyDescent="0.2">
      <c r="A14" s="5" t="s">
        <v>234</v>
      </c>
      <c r="B14" s="5" t="s">
        <v>235</v>
      </c>
      <c r="C14" s="5" t="s">
        <v>236</v>
      </c>
    </row>
    <row r="15" spans="1:3" ht="36" customHeight="1" x14ac:dyDescent="0.2">
      <c r="A15" s="9" t="s">
        <v>237</v>
      </c>
      <c r="B15" s="9" t="s">
        <v>238</v>
      </c>
      <c r="C15" s="9" t="s">
        <v>239</v>
      </c>
    </row>
    <row r="16" spans="1:3" ht="36" customHeight="1" x14ac:dyDescent="0.2">
      <c r="A16" s="5" t="s">
        <v>240</v>
      </c>
      <c r="B16" s="5" t="s">
        <v>241</v>
      </c>
      <c r="C16" s="5" t="s">
        <v>242</v>
      </c>
    </row>
    <row r="17" spans="1:3" ht="36" customHeight="1" x14ac:dyDescent="0.2">
      <c r="A17" s="9" t="s">
        <v>225</v>
      </c>
      <c r="B17" s="9" t="s">
        <v>243</v>
      </c>
      <c r="C17" s="9" t="s">
        <v>244</v>
      </c>
    </row>
    <row r="18" spans="1:3" ht="36" customHeight="1" x14ac:dyDescent="0.2">
      <c r="A18" s="16"/>
      <c r="B18" s="16"/>
      <c r="C18" s="16"/>
    </row>
    <row r="19" spans="1:3" ht="36" customHeight="1" x14ac:dyDescent="0.2">
      <c r="A19" s="15" t="s">
        <v>245</v>
      </c>
      <c r="B19" s="15"/>
      <c r="C19" s="15"/>
    </row>
    <row r="20" spans="1:3" ht="36" customHeight="1" x14ac:dyDescent="0.2">
      <c r="A20" s="5" t="s">
        <v>210</v>
      </c>
      <c r="B20" s="5" t="s">
        <v>246</v>
      </c>
      <c r="C20" s="5" t="s">
        <v>247</v>
      </c>
    </row>
    <row r="21" spans="1:3" ht="36" customHeight="1" x14ac:dyDescent="0.2">
      <c r="A21" s="9" t="s">
        <v>248</v>
      </c>
      <c r="B21" s="9" t="s">
        <v>249</v>
      </c>
      <c r="C21" s="9" t="s">
        <v>250</v>
      </c>
    </row>
    <row r="22" spans="1:3" ht="36" customHeight="1" x14ac:dyDescent="0.2">
      <c r="A22" s="5" t="s">
        <v>251</v>
      </c>
      <c r="B22" s="5" t="s">
        <v>252</v>
      </c>
      <c r="C22" s="5" t="s">
        <v>253</v>
      </c>
    </row>
    <row r="23" spans="1:3" ht="36" customHeight="1" x14ac:dyDescent="0.2">
      <c r="A23" s="9" t="s">
        <v>254</v>
      </c>
      <c r="B23" s="9" t="s">
        <v>255</v>
      </c>
      <c r="C23" s="9" t="s">
        <v>256</v>
      </c>
    </row>
    <row r="24" spans="1:3" ht="36" customHeight="1" x14ac:dyDescent="0.2">
      <c r="A24" s="5" t="s">
        <v>225</v>
      </c>
      <c r="B24" s="5" t="s">
        <v>257</v>
      </c>
      <c r="C24" s="5" t="s">
        <v>258</v>
      </c>
    </row>
    <row r="25" spans="1:3" ht="36" customHeight="1" x14ac:dyDescent="0.2">
      <c r="A25" s="16"/>
      <c r="B25" s="16"/>
      <c r="C25" s="16"/>
    </row>
    <row r="26" spans="1:3" ht="36" customHeight="1" x14ac:dyDescent="0.2">
      <c r="A26" s="15" t="s">
        <v>259</v>
      </c>
      <c r="B26" s="15"/>
      <c r="C26" s="15"/>
    </row>
    <row r="27" spans="1:3" ht="36" customHeight="1" x14ac:dyDescent="0.2">
      <c r="A27" s="9" t="s">
        <v>210</v>
      </c>
      <c r="B27" s="9" t="s">
        <v>260</v>
      </c>
      <c r="C27" s="9" t="s">
        <v>261</v>
      </c>
    </row>
    <row r="28" spans="1:3" ht="36" customHeight="1" x14ac:dyDescent="0.2">
      <c r="A28" s="5" t="s">
        <v>262</v>
      </c>
      <c r="B28" s="5" t="s">
        <v>263</v>
      </c>
      <c r="C28" s="5" t="s">
        <v>264</v>
      </c>
    </row>
    <row r="29" spans="1:3" ht="36" customHeight="1" x14ac:dyDescent="0.2">
      <c r="A29" s="9" t="s">
        <v>265</v>
      </c>
      <c r="B29" s="9" t="s">
        <v>266</v>
      </c>
      <c r="C29" s="9" t="s">
        <v>267</v>
      </c>
    </row>
    <row r="30" spans="1:3" ht="36" customHeight="1" x14ac:dyDescent="0.2">
      <c r="A30" s="5" t="s">
        <v>268</v>
      </c>
      <c r="B30" s="5" t="s">
        <v>269</v>
      </c>
      <c r="C30" s="5" t="s">
        <v>270</v>
      </c>
    </row>
    <row r="31" spans="1:3" ht="36" customHeight="1" x14ac:dyDescent="0.2">
      <c r="A31" s="9" t="s">
        <v>271</v>
      </c>
      <c r="B31" s="9" t="s">
        <v>272</v>
      </c>
      <c r="C31" s="9" t="s">
        <v>273</v>
      </c>
    </row>
    <row r="32" spans="1:3" ht="36" customHeight="1" x14ac:dyDescent="0.2">
      <c r="A32" s="5" t="s">
        <v>225</v>
      </c>
      <c r="B32" s="5" t="s">
        <v>274</v>
      </c>
      <c r="C32" s="5" t="s">
        <v>275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CC71"/>
  </sheetPr>
  <dimension ref="A1:J33"/>
  <sheetViews>
    <sheetView zoomScaleNormal="100" workbookViewId="0"/>
  </sheetViews>
  <sheetFormatPr defaultColWidth="8.7421875" defaultRowHeight="15" x14ac:dyDescent="0.2"/>
  <cols>
    <col min="1" max="1" width="13.98828125" customWidth="1"/>
    <col min="2" max="3" width="11.97265625" customWidth="1"/>
    <col min="4" max="4" width="14.9296875" customWidth="1"/>
    <col min="5" max="5" width="13.98828125" customWidth="1"/>
    <col min="6" max="6" width="11.97265625" customWidth="1"/>
    <col min="7" max="7" width="20.04296875" customWidth="1"/>
    <col min="8" max="8" width="11.97265625" customWidth="1"/>
    <col min="9" max="9" width="20.04296875" customWidth="1"/>
    <col min="10" max="10" width="29.99609375" customWidth="1"/>
  </cols>
  <sheetData>
    <row r="1" spans="1:10" ht="36" customHeight="1" x14ac:dyDescent="0.2">
      <c r="A1" s="1" t="s">
        <v>276</v>
      </c>
      <c r="B1" s="1"/>
      <c r="C1" s="1"/>
      <c r="D1" s="1"/>
      <c r="E1" s="1"/>
      <c r="F1" s="1"/>
      <c r="G1" s="1"/>
      <c r="H1" s="1"/>
      <c r="I1" s="1"/>
      <c r="J1" s="1"/>
    </row>
    <row r="2" spans="1:10" ht="31.5" customHeight="1" x14ac:dyDescent="0.2">
      <c r="A2" s="3" t="s">
        <v>277</v>
      </c>
      <c r="B2" s="3" t="s">
        <v>278</v>
      </c>
      <c r="C2" s="3" t="s">
        <v>279</v>
      </c>
      <c r="D2" s="3" t="s">
        <v>280</v>
      </c>
      <c r="E2" s="3" t="s">
        <v>281</v>
      </c>
      <c r="F2" s="3" t="s">
        <v>282</v>
      </c>
      <c r="G2" s="3" t="s">
        <v>283</v>
      </c>
      <c r="H2" s="3" t="s">
        <v>284</v>
      </c>
      <c r="I2" s="3" t="s">
        <v>285</v>
      </c>
      <c r="J2" s="3" t="s">
        <v>12</v>
      </c>
    </row>
    <row r="3" spans="1:10" x14ac:dyDescent="0.2">
      <c r="A3" s="8"/>
      <c r="B3" s="8"/>
      <c r="C3" s="8"/>
      <c r="D3" s="17">
        <f>IF(B3&gt;0,C3/B3,0)</f>
        <v>0</v>
      </c>
      <c r="E3" s="8"/>
      <c r="F3" s="17">
        <f>IF(C3&gt;0,E3/C3,0)</f>
        <v>0</v>
      </c>
      <c r="G3" s="8"/>
      <c r="H3" s="17">
        <f>IF(E3&gt;0,G3/E3,0)</f>
        <v>0</v>
      </c>
      <c r="I3" s="18"/>
      <c r="J3" s="8"/>
    </row>
    <row r="4" spans="1:10" x14ac:dyDescent="0.2">
      <c r="A4" s="4"/>
      <c r="B4" s="4"/>
      <c r="C4" s="4"/>
      <c r="D4" s="19">
        <f>IF(B4&gt;0,C4/B4,0)</f>
        <v>0</v>
      </c>
      <c r="E4" s="4"/>
      <c r="F4" s="19">
        <f>IF(C4&gt;0,E4/C4,0)</f>
        <v>0</v>
      </c>
      <c r="G4" s="4"/>
      <c r="H4" s="19">
        <f>IF(E4&gt;0,G4/E4,0)</f>
        <v>0</v>
      </c>
      <c r="I4" s="20"/>
      <c r="J4" s="4"/>
    </row>
    <row r="5" spans="1:10" x14ac:dyDescent="0.2">
      <c r="A5" s="8"/>
      <c r="B5" s="8"/>
      <c r="C5" s="8"/>
      <c r="D5" s="17">
        <f>IF(B5&gt;0,C5/B5,0)</f>
        <v>0</v>
      </c>
      <c r="E5" s="8"/>
      <c r="F5" s="17">
        <f>IF(C5&gt;0,E5/C5,0)</f>
        <v>0</v>
      </c>
      <c r="G5" s="8"/>
      <c r="H5" s="17">
        <f>IF(E5&gt;0,G5/E5,0)</f>
        <v>0</v>
      </c>
      <c r="I5" s="18"/>
      <c r="J5" s="8"/>
    </row>
    <row r="6" spans="1:10" x14ac:dyDescent="0.2">
      <c r="A6" s="4"/>
      <c r="B6" s="4"/>
      <c r="C6" s="4"/>
      <c r="D6" s="19">
        <f>IF(B6&gt;0,C6/B6,0)</f>
        <v>0</v>
      </c>
      <c r="E6" s="4"/>
      <c r="F6" s="19">
        <f>IF(C6&gt;0,E6/C6,0)</f>
        <v>0</v>
      </c>
      <c r="G6" s="4"/>
      <c r="H6" s="19">
        <f>IF(E6&gt;0,G6/E6,0)</f>
        <v>0</v>
      </c>
      <c r="I6" s="20"/>
      <c r="J6" s="4"/>
    </row>
    <row r="7" spans="1:10" x14ac:dyDescent="0.2">
      <c r="A7" s="8"/>
      <c r="B7" s="8"/>
      <c r="C7" s="8"/>
      <c r="D7" s="17">
        <f>IF(B7&gt;0,C7/B7,0)</f>
        <v>0</v>
      </c>
      <c r="E7" s="8"/>
      <c r="F7" s="17">
        <f>IF(C7&gt;0,E7/C7,0)</f>
        <v>0</v>
      </c>
      <c r="G7" s="8"/>
      <c r="H7" s="17">
        <f>IF(E7&gt;0,G7/E7,0)</f>
        <v>0</v>
      </c>
      <c r="I7" s="18"/>
      <c r="J7" s="8"/>
    </row>
    <row r="8" spans="1:10" x14ac:dyDescent="0.2">
      <c r="A8" s="4"/>
      <c r="B8" s="4"/>
      <c r="C8" s="4"/>
      <c r="D8" s="19">
        <f>IF(B8&gt;0,C8/B8,0)</f>
        <v>0</v>
      </c>
      <c r="E8" s="4"/>
      <c r="F8" s="19">
        <f>IF(C8&gt;0,E8/C8,0)</f>
        <v>0</v>
      </c>
      <c r="G8" s="4"/>
      <c r="H8" s="19">
        <f>IF(E8&gt;0,G8/E8,0)</f>
        <v>0</v>
      </c>
      <c r="I8" s="20"/>
      <c r="J8" s="4"/>
    </row>
    <row r="9" spans="1:10" x14ac:dyDescent="0.2">
      <c r="A9" s="8"/>
      <c r="B9" s="8"/>
      <c r="C9" s="8"/>
      <c r="D9" s="17">
        <f>IF(B9&gt;0,C9/B9,0)</f>
        <v>0</v>
      </c>
      <c r="E9" s="8"/>
      <c r="F9" s="17">
        <f>IF(C9&gt;0,E9/C9,0)</f>
        <v>0</v>
      </c>
      <c r="G9" s="8"/>
      <c r="H9" s="17">
        <f>IF(E9&gt;0,G9/E9,0)</f>
        <v>0</v>
      </c>
      <c r="I9" s="18"/>
      <c r="J9" s="8"/>
    </row>
    <row r="10" spans="1:10" x14ac:dyDescent="0.2">
      <c r="A10" s="4"/>
      <c r="B10" s="4"/>
      <c r="C10" s="4"/>
      <c r="D10" s="19">
        <f>IF(B10&gt;0,C10/B10,0)</f>
        <v>0</v>
      </c>
      <c r="E10" s="4"/>
      <c r="F10" s="19">
        <f>IF(C10&gt;0,E10/C10,0)</f>
        <v>0</v>
      </c>
      <c r="G10" s="4"/>
      <c r="H10" s="19">
        <f>IF(E10&gt;0,G10/E10,0)</f>
        <v>0</v>
      </c>
      <c r="I10" s="20"/>
      <c r="J10" s="4"/>
    </row>
    <row r="11" spans="1:10" x14ac:dyDescent="0.2">
      <c r="A11" s="8"/>
      <c r="B11" s="8"/>
      <c r="C11" s="8"/>
      <c r="D11" s="17">
        <f>IF(B11&gt;0,C11/B11,0)</f>
        <v>0</v>
      </c>
      <c r="E11" s="8"/>
      <c r="F11" s="17">
        <f>IF(C11&gt;0,E11/C11,0)</f>
        <v>0</v>
      </c>
      <c r="G11" s="8"/>
      <c r="H11" s="17">
        <f>IF(E11&gt;0,G11/E11,0)</f>
        <v>0</v>
      </c>
      <c r="I11" s="18"/>
      <c r="J11" s="8"/>
    </row>
    <row r="12" spans="1:10" x14ac:dyDescent="0.2">
      <c r="A12" s="4"/>
      <c r="B12" s="4"/>
      <c r="C12" s="4"/>
      <c r="D12" s="19">
        <f>IF(B12&gt;0,C12/B12,0)</f>
        <v>0</v>
      </c>
      <c r="E12" s="4"/>
      <c r="F12" s="19">
        <f>IF(C12&gt;0,E12/C12,0)</f>
        <v>0</v>
      </c>
      <c r="G12" s="4"/>
      <c r="H12" s="19">
        <f>IF(E12&gt;0,G12/E12,0)</f>
        <v>0</v>
      </c>
      <c r="I12" s="20"/>
      <c r="J12" s="4"/>
    </row>
    <row r="13" spans="1:10" x14ac:dyDescent="0.2">
      <c r="A13" s="8"/>
      <c r="B13" s="8"/>
      <c r="C13" s="8"/>
      <c r="D13" s="17">
        <f>IF(B13&gt;0,C13/B13,0)</f>
        <v>0</v>
      </c>
      <c r="E13" s="8"/>
      <c r="F13" s="17">
        <f>IF(C13&gt;0,E13/C13,0)</f>
        <v>0</v>
      </c>
      <c r="G13" s="8"/>
      <c r="H13" s="17">
        <f>IF(E13&gt;0,G13/E13,0)</f>
        <v>0</v>
      </c>
      <c r="I13" s="18"/>
      <c r="J13" s="8"/>
    </row>
    <row r="14" spans="1:10" x14ac:dyDescent="0.2">
      <c r="A14" s="4"/>
      <c r="B14" s="4"/>
      <c r="C14" s="4"/>
      <c r="D14" s="19">
        <f>IF(B14&gt;0,C14/B14,0)</f>
        <v>0</v>
      </c>
      <c r="E14" s="4"/>
      <c r="F14" s="19">
        <f>IF(C14&gt;0,E14/C14,0)</f>
        <v>0</v>
      </c>
      <c r="G14" s="4"/>
      <c r="H14" s="19">
        <f>IF(E14&gt;0,G14/E14,0)</f>
        <v>0</v>
      </c>
      <c r="I14" s="20"/>
      <c r="J14" s="4"/>
    </row>
    <row r="15" spans="1:10" x14ac:dyDescent="0.2">
      <c r="A15" s="8"/>
      <c r="B15" s="8"/>
      <c r="C15" s="8"/>
      <c r="D15" s="17">
        <f>IF(B15&gt;0,C15/B15,0)</f>
        <v>0</v>
      </c>
      <c r="E15" s="8"/>
      <c r="F15" s="17">
        <f>IF(C15&gt;0,E15/C15,0)</f>
        <v>0</v>
      </c>
      <c r="G15" s="8"/>
      <c r="H15" s="17">
        <f>IF(E15&gt;0,G15/E15,0)</f>
        <v>0</v>
      </c>
      <c r="I15" s="18"/>
      <c r="J15" s="8"/>
    </row>
    <row r="16" spans="1:10" x14ac:dyDescent="0.2">
      <c r="A16" s="4"/>
      <c r="B16" s="4"/>
      <c r="C16" s="4"/>
      <c r="D16" s="19">
        <f>IF(B16&gt;0,C16/B16,0)</f>
        <v>0</v>
      </c>
      <c r="E16" s="4"/>
      <c r="F16" s="19">
        <f>IF(C16&gt;0,E16/C16,0)</f>
        <v>0</v>
      </c>
      <c r="G16" s="4"/>
      <c r="H16" s="19">
        <f>IF(E16&gt;0,G16/E16,0)</f>
        <v>0</v>
      </c>
      <c r="I16" s="20"/>
      <c r="J16" s="4"/>
    </row>
    <row r="17" spans="1:10" x14ac:dyDescent="0.2">
      <c r="A17" s="8"/>
      <c r="B17" s="8"/>
      <c r="C17" s="8"/>
      <c r="D17" s="17">
        <f>IF(B17&gt;0,C17/B17,0)</f>
        <v>0</v>
      </c>
      <c r="E17" s="8"/>
      <c r="F17" s="17">
        <f>IF(C17&gt;0,E17/C17,0)</f>
        <v>0</v>
      </c>
      <c r="G17" s="8"/>
      <c r="H17" s="17">
        <f>IF(E17&gt;0,G17/E17,0)</f>
        <v>0</v>
      </c>
      <c r="I17" s="18"/>
      <c r="J17" s="8"/>
    </row>
    <row r="18" spans="1:10" x14ac:dyDescent="0.2">
      <c r="A18" s="4"/>
      <c r="B18" s="4"/>
      <c r="C18" s="4"/>
      <c r="D18" s="19">
        <f>IF(B18&gt;0,C18/B18,0)</f>
        <v>0</v>
      </c>
      <c r="E18" s="4"/>
      <c r="F18" s="19">
        <f>IF(C18&gt;0,E18/C18,0)</f>
        <v>0</v>
      </c>
      <c r="G18" s="4"/>
      <c r="H18" s="19">
        <f>IF(E18&gt;0,G18/E18,0)</f>
        <v>0</v>
      </c>
      <c r="I18" s="20"/>
      <c r="J18" s="4"/>
    </row>
    <row r="19" spans="1:10" x14ac:dyDescent="0.2">
      <c r="A19" s="8"/>
      <c r="B19" s="8"/>
      <c r="C19" s="8"/>
      <c r="D19" s="17">
        <f>IF(B19&gt;0,C19/B19,0)</f>
        <v>0</v>
      </c>
      <c r="E19" s="8"/>
      <c r="F19" s="17">
        <f>IF(C19&gt;0,E19/C19,0)</f>
        <v>0</v>
      </c>
      <c r="G19" s="8"/>
      <c r="H19" s="17">
        <f>IF(E19&gt;0,G19/E19,0)</f>
        <v>0</v>
      </c>
      <c r="I19" s="18"/>
      <c r="J19" s="8"/>
    </row>
    <row r="20" spans="1:10" x14ac:dyDescent="0.2">
      <c r="A20" s="4"/>
      <c r="B20" s="4"/>
      <c r="C20" s="4"/>
      <c r="D20" s="19">
        <f>IF(B20&gt;0,C20/B20,0)</f>
        <v>0</v>
      </c>
      <c r="E20" s="4"/>
      <c r="F20" s="19">
        <f>IF(C20&gt;0,E20/C20,0)</f>
        <v>0</v>
      </c>
      <c r="G20" s="4"/>
      <c r="H20" s="19">
        <f>IF(E20&gt;0,G20/E20,0)</f>
        <v>0</v>
      </c>
      <c r="I20" s="20"/>
      <c r="J20" s="4"/>
    </row>
    <row r="21" spans="1:10" x14ac:dyDescent="0.2">
      <c r="A21" s="8"/>
      <c r="B21" s="8"/>
      <c r="C21" s="8"/>
      <c r="D21" s="17">
        <f>IF(B21&gt;0,C21/B21,0)</f>
        <v>0</v>
      </c>
      <c r="E21" s="8"/>
      <c r="F21" s="17">
        <f>IF(C21&gt;0,E21/C21,0)</f>
        <v>0</v>
      </c>
      <c r="G21" s="8"/>
      <c r="H21" s="17">
        <f>IF(E21&gt;0,G21/E21,0)</f>
        <v>0</v>
      </c>
      <c r="I21" s="18"/>
      <c r="J21" s="8"/>
    </row>
    <row r="22" spans="1:10" x14ac:dyDescent="0.2">
      <c r="A22" s="4"/>
      <c r="B22" s="4"/>
      <c r="C22" s="4"/>
      <c r="D22" s="19">
        <f>IF(B22&gt;0,C22/B22,0)</f>
        <v>0</v>
      </c>
      <c r="E22" s="4"/>
      <c r="F22" s="19">
        <f>IF(C22&gt;0,E22/C22,0)</f>
        <v>0</v>
      </c>
      <c r="G22" s="4"/>
      <c r="H22" s="19">
        <f>IF(E22&gt;0,G22/E22,0)</f>
        <v>0</v>
      </c>
      <c r="I22" s="20"/>
      <c r="J22" s="4"/>
    </row>
    <row r="23" spans="1:10" x14ac:dyDescent="0.2">
      <c r="A23" s="8"/>
      <c r="B23" s="8"/>
      <c r="C23" s="8"/>
      <c r="D23" s="17">
        <f>IF(B23&gt;0,C23/B23,0)</f>
        <v>0</v>
      </c>
      <c r="E23" s="8"/>
      <c r="F23" s="17">
        <f>IF(C23&gt;0,E23/C23,0)</f>
        <v>0</v>
      </c>
      <c r="G23" s="8"/>
      <c r="H23" s="17">
        <f>IF(E23&gt;0,G23/E23,0)</f>
        <v>0</v>
      </c>
      <c r="I23" s="18"/>
      <c r="J23" s="8"/>
    </row>
    <row r="24" spans="1:10" x14ac:dyDescent="0.2">
      <c r="A24" s="4"/>
      <c r="B24" s="4"/>
      <c r="C24" s="4"/>
      <c r="D24" s="19">
        <f>IF(B24&gt;0,C24/B24,0)</f>
        <v>0</v>
      </c>
      <c r="E24" s="4"/>
      <c r="F24" s="19">
        <f>IF(C24&gt;0,E24/C24,0)</f>
        <v>0</v>
      </c>
      <c r="G24" s="4"/>
      <c r="H24" s="19">
        <f>IF(E24&gt;0,G24/E24,0)</f>
        <v>0</v>
      </c>
      <c r="I24" s="20"/>
      <c r="J24" s="4"/>
    </row>
    <row r="25" spans="1:10" x14ac:dyDescent="0.2">
      <c r="A25" s="8"/>
      <c r="B25" s="8"/>
      <c r="C25" s="8"/>
      <c r="D25" s="17">
        <f>IF(B25&gt;0,C25/B25,0)</f>
        <v>0</v>
      </c>
      <c r="E25" s="8"/>
      <c r="F25" s="17">
        <f>IF(C25&gt;0,E25/C25,0)</f>
        <v>0</v>
      </c>
      <c r="G25" s="8"/>
      <c r="H25" s="17">
        <f>IF(E25&gt;0,G25/E25,0)</f>
        <v>0</v>
      </c>
      <c r="I25" s="18"/>
      <c r="J25" s="8"/>
    </row>
    <row r="26" spans="1:10" x14ac:dyDescent="0.2">
      <c r="A26" s="4"/>
      <c r="B26" s="4"/>
      <c r="C26" s="4"/>
      <c r="D26" s="19">
        <f>IF(B26&gt;0,C26/B26,0)</f>
        <v>0</v>
      </c>
      <c r="E26" s="4"/>
      <c r="F26" s="19">
        <f>IF(C26&gt;0,E26/C26,0)</f>
        <v>0</v>
      </c>
      <c r="G26" s="4"/>
      <c r="H26" s="19">
        <f>IF(E26&gt;0,G26/E26,0)</f>
        <v>0</v>
      </c>
      <c r="I26" s="20"/>
      <c r="J26" s="4"/>
    </row>
    <row r="27" spans="1:10" x14ac:dyDescent="0.2">
      <c r="A27" s="8"/>
      <c r="B27" s="8"/>
      <c r="C27" s="8"/>
      <c r="D27" s="17">
        <f>IF(B27&gt;0,C27/B27,0)</f>
        <v>0</v>
      </c>
      <c r="E27" s="8"/>
      <c r="F27" s="17">
        <f>IF(C27&gt;0,E27/C27,0)</f>
        <v>0</v>
      </c>
      <c r="G27" s="8"/>
      <c r="H27" s="17">
        <f>IF(E27&gt;0,G27/E27,0)</f>
        <v>0</v>
      </c>
      <c r="I27" s="18"/>
      <c r="J27" s="8"/>
    </row>
    <row r="28" spans="1:10" x14ac:dyDescent="0.2">
      <c r="A28" s="4"/>
      <c r="B28" s="4"/>
      <c r="C28" s="4"/>
      <c r="D28" s="19">
        <f>IF(B28&gt;0,C28/B28,0)</f>
        <v>0</v>
      </c>
      <c r="E28" s="4"/>
      <c r="F28" s="19">
        <f>IF(C28&gt;0,E28/C28,0)</f>
        <v>0</v>
      </c>
      <c r="G28" s="4"/>
      <c r="H28" s="19">
        <f>IF(E28&gt;0,G28/E28,0)</f>
        <v>0</v>
      </c>
      <c r="I28" s="20"/>
      <c r="J28" s="4"/>
    </row>
    <row r="29" spans="1:10" x14ac:dyDescent="0.2">
      <c r="A29" s="8"/>
      <c r="B29" s="8"/>
      <c r="C29" s="8"/>
      <c r="D29" s="17">
        <f>IF(B29&gt;0,C29/B29,0)</f>
        <v>0</v>
      </c>
      <c r="E29" s="8"/>
      <c r="F29" s="17">
        <f>IF(C29&gt;0,E29/C29,0)</f>
        <v>0</v>
      </c>
      <c r="G29" s="8"/>
      <c r="H29" s="17">
        <f>IF(E29&gt;0,G29/E29,0)</f>
        <v>0</v>
      </c>
      <c r="I29" s="18"/>
      <c r="J29" s="8"/>
    </row>
    <row r="30" spans="1:10" x14ac:dyDescent="0.2">
      <c r="A30" s="4"/>
      <c r="B30" s="4"/>
      <c r="C30" s="4"/>
      <c r="D30" s="19">
        <f>IF(B30&gt;0,C30/B30,0)</f>
        <v>0</v>
      </c>
      <c r="E30" s="4"/>
      <c r="F30" s="19">
        <f>IF(C30&gt;0,E30/C30,0)</f>
        <v>0</v>
      </c>
      <c r="G30" s="4"/>
      <c r="H30" s="19">
        <f>IF(E30&gt;0,G30/E30,0)</f>
        <v>0</v>
      </c>
      <c r="I30" s="20"/>
      <c r="J30" s="4"/>
    </row>
    <row r="31" spans="1:10" x14ac:dyDescent="0.2">
      <c r="A31" s="8"/>
      <c r="B31" s="8"/>
      <c r="C31" s="8"/>
      <c r="D31" s="17">
        <f>IF(B31&gt;0,C31/B31,0)</f>
        <v>0</v>
      </c>
      <c r="E31" s="8"/>
      <c r="F31" s="17">
        <f>IF(C31&gt;0,E31/C31,0)</f>
        <v>0</v>
      </c>
      <c r="G31" s="8"/>
      <c r="H31" s="17">
        <f>IF(E31&gt;0,G31/E31,0)</f>
        <v>0</v>
      </c>
      <c r="I31" s="18"/>
      <c r="J31" s="8"/>
    </row>
    <row r="32" spans="1:10" x14ac:dyDescent="0.2">
      <c r="A32" s="4"/>
      <c r="B32" s="4"/>
      <c r="C32" s="4"/>
      <c r="D32" s="19">
        <f>IF(B32&gt;0,C32/B32,0)</f>
        <v>0</v>
      </c>
      <c r="E32" s="4"/>
      <c r="F32" s="19">
        <f>IF(C32&gt;0,E32/C32,0)</f>
        <v>0</v>
      </c>
      <c r="G32" s="4"/>
      <c r="H32" s="19">
        <f>IF(E32&gt;0,G32/E32,0)</f>
        <v>0</v>
      </c>
      <c r="I32" s="20"/>
      <c r="J32" s="4"/>
    </row>
    <row r="33" spans="1:9" ht="27.75" customHeight="1" x14ac:dyDescent="0.2">
      <c r="A33" s="21" t="s">
        <v>286</v>
      </c>
      <c r="B33" s="22">
        <f>SUM(B3:B32)</f>
        <v>0</v>
      </c>
      <c r="C33" s="22">
        <f>SUM(C3:C32)</f>
        <v>0</v>
      </c>
      <c r="D33" s="23">
        <f>IF(B33&gt;0,C33/B33,0)</f>
        <v>0</v>
      </c>
      <c r="E33" s="22">
        <f>SUM(E3:E32)</f>
        <v>0</v>
      </c>
      <c r="F33" s="23">
        <f>IF(C33&gt;0,E33/C33,0)</f>
        <v>0</v>
      </c>
      <c r="G33" s="22">
        <f>SUM(G3:G32)</f>
        <v>0</v>
      </c>
      <c r="H33" s="23">
        <f>IF(E33&gt;0,G33/E33,0)</f>
        <v>0</v>
      </c>
      <c r="I33" s="24">
        <f>SUM(I3:I32)</f>
        <v>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🎯 Seed Leads</vt:lpstr>
      <vt:lpstr>🗺️ Targeting System</vt:lpstr>
      <vt:lpstr>📊 Pipeline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2026-03-06T16:24:46Z</dcterms:created>
  <dcterms:modified xsi:type="dcterms:W3CDTF">2026-03-06T16:24:46Z</dcterms:modified>
  <dc:language>en-US</dc:language>
</cp:coreProperties>
</file>